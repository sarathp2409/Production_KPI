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GRAMMING\Production_KPI\"/>
    </mc:Choice>
  </mc:AlternateContent>
  <xr:revisionPtr revIDLastSave="0" documentId="8_{5554C06A-D1FC-450D-8F79-38269E653B9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UMMARY (2)" sheetId="16" r:id="rId1"/>
    <sheet name="SUMMARY" sheetId="15" r:id="rId2"/>
    <sheet name="Sheet1" sheetId="17" r:id="rId3"/>
    <sheet name="Ahmedbad" sheetId="1" r:id="rId4"/>
    <sheet name="Airoli" sheetId="2" r:id="rId5"/>
    <sheet name="Baroda" sheetId="3" r:id="rId6"/>
    <sheet name="Banglore" sheetId="4" r:id="rId7"/>
    <sheet name="Chennai" sheetId="5" r:id="rId8"/>
    <sheet name="Hyderabad" sheetId="6" r:id="rId9"/>
    <sheet name="Kandivali" sheetId="7" r:id="rId10"/>
    <sheet name="Kolkata" sheetId="8" r:id="rId11"/>
    <sheet name="Lucknow" sheetId="9" r:id="rId12"/>
    <sheet name="Manesar" sheetId="10" r:id="rId13"/>
    <sheet name="Nagpur" sheetId="11" r:id="rId14"/>
    <sheet name="Pune" sheetId="12" r:id="rId15"/>
    <sheet name="Sahibabad" sheetId="13" r:id="rId16"/>
    <sheet name="Trivandrum" sheetId="14" r:id="rId17"/>
  </sheets>
  <definedNames>
    <definedName name="_xlnm._FilterDatabase" localSheetId="3" hidden="1">Ahmedbad!$B$1:$U$1</definedName>
    <definedName name="_xlnm._FilterDatabase" localSheetId="4" hidden="1">Airoli!$B$1:$Z$31</definedName>
    <definedName name="_xlnm._FilterDatabase" localSheetId="6" hidden="1">Banglore!$B$1:$Z$1</definedName>
    <definedName name="_xlnm._FilterDatabase" localSheetId="5" hidden="1">Baroda!$B$1:$V$1</definedName>
    <definedName name="_xlnm._FilterDatabase" localSheetId="7" hidden="1">Chennai!$B$1:$Z$1</definedName>
    <definedName name="_xlnm._FilterDatabase" localSheetId="8" hidden="1">Hyderabad!$B$1:$Z$33</definedName>
    <definedName name="_xlnm._FilterDatabase" localSheetId="9" hidden="1">Kandivali!$B$1:$AA$1</definedName>
    <definedName name="_xlnm._FilterDatabase" localSheetId="10" hidden="1">Kolkata!$B$1:$Z$1</definedName>
    <definedName name="_xlnm._FilterDatabase" localSheetId="11" hidden="1">Lucknow!$B$1:$Z$1</definedName>
    <definedName name="_xlnm._FilterDatabase" localSheetId="12" hidden="1">Manesar!$B$1:$Z$32</definedName>
    <definedName name="_xlnm._FilterDatabase" localSheetId="13" hidden="1">Nagpur!$B$1:$U$1</definedName>
    <definedName name="_xlnm._FilterDatabase" localSheetId="14" hidden="1">Pune!$B$1:$Z$1</definedName>
    <definedName name="_xlnm._FilterDatabase" localSheetId="15" hidden="1">Sahibabad!$B$1:$Z$1</definedName>
    <definedName name="_xlnm._FilterDatabase" localSheetId="16" hidden="1">Trivandrum!$B$1:$Z$32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3" i="14" l="1"/>
  <c r="AR33" i="14"/>
  <c r="AO33" i="14"/>
  <c r="AJ33" i="14"/>
  <c r="AK33" i="14" s="1"/>
  <c r="AI33" i="14"/>
  <c r="AH33" i="14"/>
  <c r="AC33" i="14"/>
  <c r="AB33" i="14"/>
  <c r="AA33" i="14"/>
  <c r="Z33" i="14"/>
  <c r="Y33" i="14"/>
  <c r="AM33" i="14" s="1"/>
  <c r="AN33" i="14" s="1"/>
  <c r="AP33" i="14" s="1"/>
  <c r="X33" i="14"/>
  <c r="W33" i="14"/>
  <c r="V33" i="14"/>
  <c r="I33" i="14"/>
  <c r="AR32" i="14"/>
  <c r="AI32" i="14"/>
  <c r="AH32" i="14"/>
  <c r="AC32" i="14"/>
  <c r="AB32" i="14"/>
  <c r="Z32" i="14"/>
  <c r="X32" i="14"/>
  <c r="W32" i="14"/>
  <c r="V32" i="14"/>
  <c r="I32" i="14"/>
  <c r="H32" i="14"/>
  <c r="E32" i="14"/>
  <c r="Y32" i="14" s="1"/>
  <c r="A32" i="14"/>
  <c r="AS31" i="14"/>
  <c r="AR31" i="14"/>
  <c r="AJ31" i="14"/>
  <c r="AK31" i="14" s="1"/>
  <c r="AH31" i="14"/>
  <c r="AD31" i="14"/>
  <c r="AQ31" i="14" s="1"/>
  <c r="AC31" i="14"/>
  <c r="AB31" i="14"/>
  <c r="Z31" i="14"/>
  <c r="Y31" i="14"/>
  <c r="AM31" i="14" s="1"/>
  <c r="X31" i="14"/>
  <c r="W31" i="14"/>
  <c r="V31" i="14"/>
  <c r="I31" i="14"/>
  <c r="H31" i="14"/>
  <c r="AI31" i="14" s="1"/>
  <c r="E31" i="14"/>
  <c r="A31" i="14"/>
  <c r="AS30" i="14"/>
  <c r="AR30" i="14"/>
  <c r="AH30" i="14"/>
  <c r="AI30" i="14" s="1"/>
  <c r="AC30" i="14"/>
  <c r="AB30" i="14"/>
  <c r="Z30" i="14"/>
  <c r="AD30" i="14" s="1"/>
  <c r="AQ30" i="14" s="1"/>
  <c r="X30" i="14"/>
  <c r="AJ30" i="14" s="1"/>
  <c r="AK30" i="14" s="1"/>
  <c r="W30" i="14"/>
  <c r="AA30" i="14" s="1"/>
  <c r="V30" i="14"/>
  <c r="I30" i="14"/>
  <c r="H30" i="14"/>
  <c r="E30" i="14"/>
  <c r="Y30" i="14" s="1"/>
  <c r="A30" i="14"/>
  <c r="AT29" i="14"/>
  <c r="AR29" i="14"/>
  <c r="AH29" i="14"/>
  <c r="AC29" i="14"/>
  <c r="AB29" i="14"/>
  <c r="Z29" i="14"/>
  <c r="X29" i="14"/>
  <c r="AJ29" i="14" s="1"/>
  <c r="AK29" i="14" s="1"/>
  <c r="W29" i="14"/>
  <c r="V29" i="14"/>
  <c r="I29" i="14"/>
  <c r="H29" i="14"/>
  <c r="AA29" i="14" s="1"/>
  <c r="E29" i="14"/>
  <c r="Y29" i="14" s="1"/>
  <c r="AM29" i="14" s="1"/>
  <c r="AN29" i="14" s="1"/>
  <c r="AP29" i="14" s="1"/>
  <c r="A29" i="14"/>
  <c r="AR28" i="14"/>
  <c r="AQ28" i="14"/>
  <c r="AM28" i="14"/>
  <c r="AI28" i="14"/>
  <c r="AH28" i="14"/>
  <c r="AD28" i="14"/>
  <c r="AC28" i="14"/>
  <c r="AB28" i="14"/>
  <c r="AA28" i="14"/>
  <c r="Z28" i="14"/>
  <c r="X28" i="14"/>
  <c r="AJ28" i="14" s="1"/>
  <c r="AK28" i="14" s="1"/>
  <c r="W28" i="14"/>
  <c r="V28" i="14"/>
  <c r="I28" i="14"/>
  <c r="H28" i="14"/>
  <c r="E28" i="14"/>
  <c r="Y28" i="14" s="1"/>
  <c r="A28" i="14"/>
  <c r="AS27" i="14"/>
  <c r="AR27" i="14"/>
  <c r="AJ27" i="14"/>
  <c r="AK27" i="14" s="1"/>
  <c r="AH27" i="14"/>
  <c r="AM27" i="14" s="1"/>
  <c r="AC27" i="14"/>
  <c r="AB27" i="14"/>
  <c r="Z27" i="14"/>
  <c r="AD27" i="14" s="1"/>
  <c r="AQ27" i="14" s="1"/>
  <c r="Y27" i="14"/>
  <c r="X27" i="14"/>
  <c r="W27" i="14"/>
  <c r="V27" i="14"/>
  <c r="I27" i="14"/>
  <c r="H27" i="14"/>
  <c r="AI27" i="14" s="1"/>
  <c r="E27" i="14"/>
  <c r="A27" i="14"/>
  <c r="AR26" i="14"/>
  <c r="AM26" i="14"/>
  <c r="AL26" i="14" s="1"/>
  <c r="AJ26" i="14"/>
  <c r="AK26" i="14" s="1"/>
  <c r="AH26" i="14"/>
  <c r="AC26" i="14"/>
  <c r="AB26" i="14"/>
  <c r="Z26" i="14"/>
  <c r="AD26" i="14" s="1"/>
  <c r="AQ26" i="14" s="1"/>
  <c r="Y26" i="14"/>
  <c r="X26" i="14"/>
  <c r="W26" i="14"/>
  <c r="V26" i="14"/>
  <c r="I26" i="14"/>
  <c r="H26" i="14"/>
  <c r="AI26" i="14" s="1"/>
  <c r="E26" i="14"/>
  <c r="A26" i="14"/>
  <c r="AR25" i="14"/>
  <c r="AM25" i="14"/>
  <c r="AJ25" i="14"/>
  <c r="AK25" i="14" s="1"/>
  <c r="AH25" i="14"/>
  <c r="AC25" i="14"/>
  <c r="AB25" i="14"/>
  <c r="Z25" i="14"/>
  <c r="AD25" i="14" s="1"/>
  <c r="AQ25" i="14" s="1"/>
  <c r="Y25" i="14"/>
  <c r="X25" i="14"/>
  <c r="W25" i="14"/>
  <c r="V25" i="14"/>
  <c r="I25" i="14"/>
  <c r="H25" i="14"/>
  <c r="E25" i="14"/>
  <c r="A25" i="14"/>
  <c r="AS24" i="14"/>
  <c r="AR24" i="14"/>
  <c r="AH24" i="14"/>
  <c r="AC24" i="14"/>
  <c r="AB24" i="14"/>
  <c r="Z24" i="14"/>
  <c r="AD24" i="14" s="1"/>
  <c r="AQ24" i="14" s="1"/>
  <c r="X24" i="14"/>
  <c r="AJ24" i="14" s="1"/>
  <c r="AK24" i="14" s="1"/>
  <c r="W24" i="14"/>
  <c r="AA24" i="14" s="1"/>
  <c r="V24" i="14"/>
  <c r="I24" i="14"/>
  <c r="H24" i="14"/>
  <c r="E24" i="14"/>
  <c r="Y24" i="14" s="1"/>
  <c r="A24" i="14"/>
  <c r="AS23" i="14"/>
  <c r="AR23" i="14"/>
  <c r="AH23" i="14"/>
  <c r="AD23" i="14"/>
  <c r="AQ23" i="14" s="1"/>
  <c r="AC23" i="14"/>
  <c r="AB23" i="14"/>
  <c r="Z23" i="14"/>
  <c r="X23" i="14"/>
  <c r="AJ23" i="14" s="1"/>
  <c r="AK23" i="14" s="1"/>
  <c r="W23" i="14"/>
  <c r="AA23" i="14" s="1"/>
  <c r="V23" i="14"/>
  <c r="I23" i="14"/>
  <c r="H23" i="14"/>
  <c r="E23" i="14"/>
  <c r="Y23" i="14" s="1"/>
  <c r="A23" i="14"/>
  <c r="AS22" i="14"/>
  <c r="AR22" i="14"/>
  <c r="AJ22" i="14"/>
  <c r="AK22" i="14" s="1"/>
  <c r="AH22" i="14"/>
  <c r="AM22" i="14" s="1"/>
  <c r="AL22" i="14" s="1"/>
  <c r="AC22" i="14"/>
  <c r="AB22" i="14"/>
  <c r="Z22" i="14"/>
  <c r="AD22" i="14" s="1"/>
  <c r="AQ22" i="14" s="1"/>
  <c r="Y22" i="14"/>
  <c r="X22" i="14"/>
  <c r="W22" i="14"/>
  <c r="AA22" i="14" s="1"/>
  <c r="V22" i="14"/>
  <c r="I22" i="14"/>
  <c r="H22" i="14"/>
  <c r="AI22" i="14" s="1"/>
  <c r="E22" i="14"/>
  <c r="A22" i="14"/>
  <c r="AS21" i="14"/>
  <c r="AR21" i="14"/>
  <c r="AJ21" i="14"/>
  <c r="AK21" i="14" s="1"/>
  <c r="AI21" i="14"/>
  <c r="AH21" i="14"/>
  <c r="AD21" i="14"/>
  <c r="AQ21" i="14" s="1"/>
  <c r="AC21" i="14"/>
  <c r="AB21" i="14"/>
  <c r="AA21" i="14"/>
  <c r="Z21" i="14"/>
  <c r="Y21" i="14"/>
  <c r="X21" i="14"/>
  <c r="W21" i="14"/>
  <c r="V21" i="14"/>
  <c r="I21" i="14"/>
  <c r="H21" i="14"/>
  <c r="E21" i="14"/>
  <c r="A21" i="14"/>
  <c r="AT20" i="14"/>
  <c r="AS20" i="14"/>
  <c r="AR20" i="14"/>
  <c r="AQ20" i="14"/>
  <c r="AM20" i="14"/>
  <c r="AN20" i="14" s="1"/>
  <c r="AK20" i="14"/>
  <c r="AH20" i="14"/>
  <c r="AC20" i="14"/>
  <c r="AB20" i="14"/>
  <c r="Z20" i="14"/>
  <c r="AD20" i="14" s="1"/>
  <c r="X20" i="14"/>
  <c r="AJ20" i="14" s="1"/>
  <c r="W20" i="14"/>
  <c r="AA20" i="14" s="1"/>
  <c r="V20" i="14"/>
  <c r="I20" i="14"/>
  <c r="H20" i="14"/>
  <c r="AI20" i="14" s="1"/>
  <c r="E20" i="14"/>
  <c r="Y20" i="14" s="1"/>
  <c r="A20" i="14"/>
  <c r="AR19" i="14"/>
  <c r="AH19" i="14"/>
  <c r="AC19" i="14"/>
  <c r="AB19" i="14"/>
  <c r="Z19" i="14"/>
  <c r="X19" i="14"/>
  <c r="AJ19" i="14" s="1"/>
  <c r="AK19" i="14" s="1"/>
  <c r="W19" i="14"/>
  <c r="AA19" i="14" s="1"/>
  <c r="V19" i="14"/>
  <c r="I19" i="14"/>
  <c r="H19" i="14"/>
  <c r="AI19" i="14" s="1"/>
  <c r="E19" i="14"/>
  <c r="Y19" i="14" s="1"/>
  <c r="A19" i="14"/>
  <c r="AT18" i="14"/>
  <c r="AR18" i="14"/>
  <c r="AH18" i="14"/>
  <c r="AC18" i="14"/>
  <c r="AB18" i="14"/>
  <c r="Z18" i="14"/>
  <c r="X18" i="14"/>
  <c r="AJ18" i="14" s="1"/>
  <c r="AK18" i="14" s="1"/>
  <c r="W18" i="14"/>
  <c r="V18" i="14"/>
  <c r="I18" i="14"/>
  <c r="H18" i="14"/>
  <c r="AI18" i="14" s="1"/>
  <c r="E18" i="14"/>
  <c r="Y18" i="14" s="1"/>
  <c r="AM18" i="14" s="1"/>
  <c r="AN18" i="14" s="1"/>
  <c r="A18" i="14"/>
  <c r="AR17" i="14"/>
  <c r="AI17" i="14"/>
  <c r="AH17" i="14"/>
  <c r="AC17" i="14"/>
  <c r="AB17" i="14"/>
  <c r="Z17" i="14"/>
  <c r="Y17" i="14"/>
  <c r="AM17" i="14" s="1"/>
  <c r="X17" i="14"/>
  <c r="W17" i="14"/>
  <c r="V17" i="14"/>
  <c r="I17" i="14"/>
  <c r="H17" i="14"/>
  <c r="E17" i="14"/>
  <c r="A17" i="14"/>
  <c r="AR16" i="14"/>
  <c r="AQ16" i="14"/>
  <c r="AI16" i="14"/>
  <c r="AH16" i="14"/>
  <c r="AD16" i="14"/>
  <c r="AC16" i="14"/>
  <c r="AB16" i="14"/>
  <c r="AA16" i="14"/>
  <c r="Z16" i="14"/>
  <c r="X16" i="14"/>
  <c r="AJ16" i="14" s="1"/>
  <c r="AK16" i="14" s="1"/>
  <c r="W16" i="14"/>
  <c r="V16" i="14"/>
  <c r="I16" i="14"/>
  <c r="H16" i="14"/>
  <c r="E16" i="14"/>
  <c r="Y16" i="14" s="1"/>
  <c r="AM16" i="14" s="1"/>
  <c r="A16" i="14"/>
  <c r="AR15" i="14"/>
  <c r="AN15" i="14"/>
  <c r="AJ15" i="14"/>
  <c r="AK15" i="14" s="1"/>
  <c r="AH15" i="14"/>
  <c r="AD15" i="14"/>
  <c r="AQ15" i="14" s="1"/>
  <c r="AC15" i="14"/>
  <c r="AB15" i="14"/>
  <c r="Z15" i="14"/>
  <c r="Y15" i="14"/>
  <c r="AM15" i="14" s="1"/>
  <c r="AL15" i="14" s="1"/>
  <c r="X15" i="14"/>
  <c r="W15" i="14"/>
  <c r="V15" i="14"/>
  <c r="I15" i="14"/>
  <c r="H15" i="14"/>
  <c r="E15" i="14"/>
  <c r="A15" i="14"/>
  <c r="AT14" i="14"/>
  <c r="AR14" i="14"/>
  <c r="AJ14" i="14"/>
  <c r="AK14" i="14" s="1"/>
  <c r="AH14" i="14"/>
  <c r="AM14" i="14" s="1"/>
  <c r="AC14" i="14"/>
  <c r="AB14" i="14"/>
  <c r="Z14" i="14"/>
  <c r="AD14" i="14" s="1"/>
  <c r="AQ14" i="14" s="1"/>
  <c r="Y14" i="14"/>
  <c r="X14" i="14"/>
  <c r="W14" i="14"/>
  <c r="AA14" i="14" s="1"/>
  <c r="V14" i="14"/>
  <c r="I14" i="14"/>
  <c r="H14" i="14"/>
  <c r="E14" i="14"/>
  <c r="A14" i="14"/>
  <c r="AR13" i="14"/>
  <c r="AJ13" i="14"/>
  <c r="AK13" i="14" s="1"/>
  <c r="AH13" i="14"/>
  <c r="AM13" i="14" s="1"/>
  <c r="AL13" i="14" s="1"/>
  <c r="AC13" i="14"/>
  <c r="AB13" i="14"/>
  <c r="Z13" i="14"/>
  <c r="AD13" i="14" s="1"/>
  <c r="AQ13" i="14" s="1"/>
  <c r="Y13" i="14"/>
  <c r="X13" i="14"/>
  <c r="W13" i="14"/>
  <c r="AA13" i="14" s="1"/>
  <c r="V13" i="14"/>
  <c r="I13" i="14"/>
  <c r="H13" i="14"/>
  <c r="E13" i="14"/>
  <c r="A13" i="14"/>
  <c r="AS12" i="14"/>
  <c r="AR12" i="14"/>
  <c r="AK12" i="14"/>
  <c r="AH12" i="14"/>
  <c r="AD12" i="14"/>
  <c r="AQ12" i="14" s="1"/>
  <c r="AC12" i="14"/>
  <c r="AB12" i="14"/>
  <c r="Z12" i="14"/>
  <c r="X12" i="14"/>
  <c r="AJ12" i="14" s="1"/>
  <c r="W12" i="14"/>
  <c r="V12" i="14"/>
  <c r="I12" i="14"/>
  <c r="H12" i="14"/>
  <c r="E12" i="14"/>
  <c r="Y12" i="14" s="1"/>
  <c r="A12" i="14"/>
  <c r="AR11" i="14"/>
  <c r="AL11" i="14"/>
  <c r="AH11" i="14"/>
  <c r="AM11" i="14" s="1"/>
  <c r="AN11" i="14" s="1"/>
  <c r="AC11" i="14"/>
  <c r="AB11" i="14"/>
  <c r="Z11" i="14"/>
  <c r="X11" i="14"/>
  <c r="W11" i="14"/>
  <c r="V11" i="14"/>
  <c r="I11" i="14"/>
  <c r="H11" i="14"/>
  <c r="E11" i="14"/>
  <c r="Y11" i="14" s="1"/>
  <c r="A11" i="14"/>
  <c r="AR10" i="14"/>
  <c r="AQ10" i="14"/>
  <c r="AI10" i="14"/>
  <c r="AH10" i="14"/>
  <c r="AM10" i="14" s="1"/>
  <c r="AL10" i="14" s="1"/>
  <c r="AD10" i="14"/>
  <c r="AC10" i="14"/>
  <c r="AB10" i="14"/>
  <c r="Z10" i="14"/>
  <c r="X10" i="14"/>
  <c r="AJ10" i="14" s="1"/>
  <c r="AK10" i="14" s="1"/>
  <c r="W10" i="14"/>
  <c r="AN10" i="14" s="1"/>
  <c r="V10" i="14"/>
  <c r="I10" i="14"/>
  <c r="H10" i="14"/>
  <c r="E10" i="14"/>
  <c r="Y10" i="14" s="1"/>
  <c r="A10" i="14"/>
  <c r="I9" i="14"/>
  <c r="H9" i="14"/>
  <c r="E9" i="14"/>
  <c r="A9" i="14"/>
  <c r="AU8" i="14"/>
  <c r="AR8" i="14"/>
  <c r="AL8" i="14"/>
  <c r="AI8" i="14"/>
  <c r="AH8" i="14"/>
  <c r="AC8" i="14"/>
  <c r="AB8" i="14"/>
  <c r="Z8" i="14"/>
  <c r="X8" i="14"/>
  <c r="AJ8" i="14" s="1"/>
  <c r="AK8" i="14" s="1"/>
  <c r="W8" i="14"/>
  <c r="V8" i="14"/>
  <c r="I8" i="14"/>
  <c r="H8" i="14"/>
  <c r="E8" i="14"/>
  <c r="Y8" i="14" s="1"/>
  <c r="AM8" i="14" s="1"/>
  <c r="A8" i="14"/>
  <c r="AR7" i="14"/>
  <c r="AH7" i="14"/>
  <c r="AC7" i="14"/>
  <c r="AB7" i="14"/>
  <c r="AA7" i="14"/>
  <c r="Z7" i="14"/>
  <c r="X7" i="14"/>
  <c r="AJ7" i="14" s="1"/>
  <c r="AK7" i="14" s="1"/>
  <c r="W7" i="14"/>
  <c r="V7" i="14"/>
  <c r="I7" i="14"/>
  <c r="H7" i="14"/>
  <c r="AI7" i="14" s="1"/>
  <c r="E7" i="14"/>
  <c r="Y7" i="14" s="1"/>
  <c r="A7" i="14"/>
  <c r="AT6" i="14"/>
  <c r="AS6" i="14"/>
  <c r="AR6" i="14"/>
  <c r="AK6" i="14"/>
  <c r="AJ6" i="14"/>
  <c r="AH6" i="14"/>
  <c r="AM6" i="14" s="1"/>
  <c r="AD6" i="14"/>
  <c r="AQ6" i="14" s="1"/>
  <c r="AC6" i="14"/>
  <c r="AB6" i="14"/>
  <c r="Z6" i="14"/>
  <c r="Y6" i="14"/>
  <c r="X6" i="14"/>
  <c r="W6" i="14"/>
  <c r="V6" i="14"/>
  <c r="I6" i="14"/>
  <c r="H6" i="14"/>
  <c r="E6" i="14"/>
  <c r="A6" i="14"/>
  <c r="AS5" i="14"/>
  <c r="AR5" i="14"/>
  <c r="AK5" i="14"/>
  <c r="AH5" i="14"/>
  <c r="AC5" i="14"/>
  <c r="AB5" i="14"/>
  <c r="Z5" i="14"/>
  <c r="AD5" i="14" s="1"/>
  <c r="AQ5" i="14" s="1"/>
  <c r="X5" i="14"/>
  <c r="AJ5" i="14" s="1"/>
  <c r="W5" i="14"/>
  <c r="AA5" i="14" s="1"/>
  <c r="V5" i="14"/>
  <c r="I5" i="14"/>
  <c r="H5" i="14"/>
  <c r="E5" i="14"/>
  <c r="Y5" i="14" s="1"/>
  <c r="A5" i="14"/>
  <c r="AR4" i="14"/>
  <c r="AK4" i="14"/>
  <c r="AH4" i="14"/>
  <c r="AC4" i="14"/>
  <c r="AB4" i="14"/>
  <c r="Z4" i="14"/>
  <c r="AD4" i="14" s="1"/>
  <c r="AQ4" i="14" s="1"/>
  <c r="X4" i="14"/>
  <c r="AJ4" i="14" s="1"/>
  <c r="W4" i="14"/>
  <c r="AA4" i="14" s="1"/>
  <c r="V4" i="14"/>
  <c r="I4" i="14"/>
  <c r="H4" i="14"/>
  <c r="E4" i="14"/>
  <c r="Y4" i="14" s="1"/>
  <c r="A4" i="14"/>
  <c r="AR3" i="14"/>
  <c r="AN3" i="14"/>
  <c r="AL3" i="14"/>
  <c r="AH3" i="14"/>
  <c r="AM3" i="14" s="1"/>
  <c r="AC3" i="14"/>
  <c r="AB3" i="14"/>
  <c r="Z3" i="14"/>
  <c r="X3" i="14"/>
  <c r="W3" i="14"/>
  <c r="V3" i="14"/>
  <c r="H3" i="14"/>
  <c r="AI3" i="14" s="1"/>
  <c r="E3" i="14"/>
  <c r="Y3" i="14" s="1"/>
  <c r="A3" i="14"/>
  <c r="AU2" i="14"/>
  <c r="AS2" i="14"/>
  <c r="AR2" i="14"/>
  <c r="AJ2" i="14"/>
  <c r="AK2" i="14" s="1"/>
  <c r="AH2" i="14"/>
  <c r="AM2" i="14" s="1"/>
  <c r="AC2" i="14"/>
  <c r="AB2" i="14"/>
  <c r="Z2" i="14"/>
  <c r="Y2" i="14"/>
  <c r="X2" i="14"/>
  <c r="AD2" i="14" s="1"/>
  <c r="AQ2" i="14" s="1"/>
  <c r="W2" i="14"/>
  <c r="AA2" i="14" s="1"/>
  <c r="V2" i="14"/>
  <c r="I2" i="14"/>
  <c r="H2" i="14"/>
  <c r="E2" i="14"/>
  <c r="A2" i="14"/>
  <c r="P32" i="13"/>
  <c r="O32" i="13"/>
  <c r="N32" i="13"/>
  <c r="M32" i="13"/>
  <c r="L32" i="13"/>
  <c r="AR31" i="13"/>
  <c r="AJ31" i="13"/>
  <c r="AK31" i="13" s="1"/>
  <c r="AH31" i="13"/>
  <c r="AM31" i="13" s="1"/>
  <c r="AL31" i="13" s="1"/>
  <c r="AC31" i="13"/>
  <c r="AB31" i="13"/>
  <c r="Z31" i="13"/>
  <c r="Y31" i="13"/>
  <c r="X31" i="13"/>
  <c r="W31" i="13"/>
  <c r="AA31" i="13" s="1"/>
  <c r="V31" i="13"/>
  <c r="I31" i="13"/>
  <c r="H31" i="13"/>
  <c r="AI31" i="13" s="1"/>
  <c r="E31" i="13"/>
  <c r="A31" i="13"/>
  <c r="AR30" i="13"/>
  <c r="AM30" i="13"/>
  <c r="AK30" i="13"/>
  <c r="AH30" i="13"/>
  <c r="AC30" i="13"/>
  <c r="AB30" i="13"/>
  <c r="Z30" i="13"/>
  <c r="AD30" i="13" s="1"/>
  <c r="AQ30" i="13" s="1"/>
  <c r="Y30" i="13"/>
  <c r="X30" i="13"/>
  <c r="AJ30" i="13" s="1"/>
  <c r="W30" i="13"/>
  <c r="V30" i="13"/>
  <c r="I30" i="13"/>
  <c r="H30" i="13"/>
  <c r="AI30" i="13" s="1"/>
  <c r="E30" i="13"/>
  <c r="A30" i="13"/>
  <c r="AR29" i="13"/>
  <c r="AN29" i="13"/>
  <c r="AM29" i="13"/>
  <c r="AL29" i="13" s="1"/>
  <c r="AH29" i="13"/>
  <c r="AC29" i="13"/>
  <c r="AB29" i="13"/>
  <c r="Z29" i="13"/>
  <c r="AD29" i="13" s="1"/>
  <c r="AQ29" i="13" s="1"/>
  <c r="Y29" i="13"/>
  <c r="X29" i="13"/>
  <c r="AJ29" i="13" s="1"/>
  <c r="AK29" i="13" s="1"/>
  <c r="W29" i="13"/>
  <c r="V29" i="13"/>
  <c r="I29" i="13"/>
  <c r="H29" i="13"/>
  <c r="AI29" i="13" s="1"/>
  <c r="E29" i="13"/>
  <c r="A29" i="13"/>
  <c r="AR28" i="13"/>
  <c r="AJ28" i="13"/>
  <c r="AK28" i="13" s="1"/>
  <c r="AH28" i="13"/>
  <c r="AD28" i="13"/>
  <c r="AQ28" i="13" s="1"/>
  <c r="AC28" i="13"/>
  <c r="AB28" i="13"/>
  <c r="Z28" i="13"/>
  <c r="Y28" i="13"/>
  <c r="AM28" i="13" s="1"/>
  <c r="X28" i="13"/>
  <c r="W28" i="13"/>
  <c r="V28" i="13"/>
  <c r="I28" i="13"/>
  <c r="H28" i="13"/>
  <c r="AI28" i="13" s="1"/>
  <c r="E28" i="13"/>
  <c r="A28" i="13"/>
  <c r="AR27" i="13"/>
  <c r="AJ27" i="13"/>
  <c r="AK27" i="13" s="1"/>
  <c r="AI27" i="13"/>
  <c r="AH27" i="13"/>
  <c r="AM27" i="13" s="1"/>
  <c r="AL27" i="13" s="1"/>
  <c r="AC27" i="13"/>
  <c r="AB27" i="13"/>
  <c r="Z27" i="13"/>
  <c r="Y27" i="13"/>
  <c r="X27" i="13"/>
  <c r="W27" i="13"/>
  <c r="AA27" i="13" s="1"/>
  <c r="V27" i="13"/>
  <c r="I27" i="13"/>
  <c r="H27" i="13"/>
  <c r="E27" i="13"/>
  <c r="A27" i="13"/>
  <c r="AR26" i="13"/>
  <c r="AH26" i="13"/>
  <c r="AM26" i="13" s="1"/>
  <c r="AC26" i="13"/>
  <c r="AB26" i="13"/>
  <c r="Z26" i="13"/>
  <c r="AD26" i="13" s="1"/>
  <c r="AQ26" i="13" s="1"/>
  <c r="Y26" i="13"/>
  <c r="X26" i="13"/>
  <c r="AJ26" i="13" s="1"/>
  <c r="AK26" i="13" s="1"/>
  <c r="W26" i="13"/>
  <c r="V26" i="13"/>
  <c r="I26" i="13"/>
  <c r="H26" i="13"/>
  <c r="AI26" i="13" s="1"/>
  <c r="E26" i="13"/>
  <c r="A26" i="13"/>
  <c r="AR25" i="13"/>
  <c r="AM25" i="13"/>
  <c r="AL25" i="13" s="1"/>
  <c r="AI25" i="13"/>
  <c r="AH25" i="13"/>
  <c r="AC25" i="13"/>
  <c r="AB25" i="13"/>
  <c r="Z25" i="13"/>
  <c r="Y25" i="13"/>
  <c r="X25" i="13"/>
  <c r="AJ25" i="13" s="1"/>
  <c r="AK25" i="13" s="1"/>
  <c r="W25" i="13"/>
  <c r="V25" i="13"/>
  <c r="I25" i="13"/>
  <c r="H25" i="13"/>
  <c r="E25" i="13"/>
  <c r="A25" i="13"/>
  <c r="AR24" i="13"/>
  <c r="AJ24" i="13"/>
  <c r="AK24" i="13" s="1"/>
  <c r="AH24" i="13"/>
  <c r="AM24" i="13" s="1"/>
  <c r="AC24" i="13"/>
  <c r="AB24" i="13"/>
  <c r="Z24" i="13"/>
  <c r="Y24" i="13"/>
  <c r="X24" i="13"/>
  <c r="AD24" i="13" s="1"/>
  <c r="AQ24" i="13" s="1"/>
  <c r="W24" i="13"/>
  <c r="V24" i="13"/>
  <c r="I24" i="13"/>
  <c r="H24" i="13"/>
  <c r="E24" i="13"/>
  <c r="A24" i="13"/>
  <c r="AR23" i="13"/>
  <c r="AN23" i="13"/>
  <c r="AH23" i="13"/>
  <c r="AM23" i="13" s="1"/>
  <c r="AL23" i="13" s="1"/>
  <c r="AC23" i="13"/>
  <c r="AB23" i="13"/>
  <c r="Z23" i="13"/>
  <c r="Y23" i="13"/>
  <c r="X23" i="13"/>
  <c r="AJ23" i="13" s="1"/>
  <c r="AK23" i="13" s="1"/>
  <c r="W23" i="13"/>
  <c r="V23" i="13"/>
  <c r="I23" i="13"/>
  <c r="H23" i="13"/>
  <c r="AI23" i="13" s="1"/>
  <c r="E23" i="13"/>
  <c r="A23" i="13"/>
  <c r="AR22" i="13"/>
  <c r="AQ22" i="13"/>
  <c r="AH22" i="13"/>
  <c r="AM22" i="13" s="1"/>
  <c r="AD22" i="13"/>
  <c r="AC22" i="13"/>
  <c r="AB22" i="13"/>
  <c r="Z22" i="13"/>
  <c r="Y22" i="13"/>
  <c r="X22" i="13"/>
  <c r="AJ22" i="13" s="1"/>
  <c r="AK22" i="13" s="1"/>
  <c r="W22" i="13"/>
  <c r="V22" i="13"/>
  <c r="I22" i="13"/>
  <c r="H22" i="13"/>
  <c r="E22" i="13"/>
  <c r="A22" i="13"/>
  <c r="AR21" i="13"/>
  <c r="AM21" i="13"/>
  <c r="AI21" i="13"/>
  <c r="AH21" i="13"/>
  <c r="AC21" i="13"/>
  <c r="AB21" i="13"/>
  <c r="Z21" i="13"/>
  <c r="Y21" i="13"/>
  <c r="X21" i="13"/>
  <c r="AJ21" i="13" s="1"/>
  <c r="AK21" i="13" s="1"/>
  <c r="W21" i="13"/>
  <c r="V21" i="13"/>
  <c r="I21" i="13"/>
  <c r="H21" i="13"/>
  <c r="E21" i="13"/>
  <c r="A21" i="13"/>
  <c r="AR20" i="13"/>
  <c r="AH20" i="13"/>
  <c r="AC20" i="13"/>
  <c r="AB20" i="13"/>
  <c r="Z20" i="13"/>
  <c r="Y20" i="13"/>
  <c r="AM20" i="13" s="1"/>
  <c r="X20" i="13"/>
  <c r="W20" i="13"/>
  <c r="V20" i="13"/>
  <c r="I20" i="13"/>
  <c r="H20" i="13"/>
  <c r="AI20" i="13" s="1"/>
  <c r="E20" i="13"/>
  <c r="A20" i="13"/>
  <c r="AR19" i="13"/>
  <c r="AQ19" i="13"/>
  <c r="AJ19" i="13"/>
  <c r="AK19" i="13" s="1"/>
  <c r="AH19" i="13"/>
  <c r="AM19" i="13" s="1"/>
  <c r="AC19" i="13"/>
  <c r="AB19" i="13"/>
  <c r="Z19" i="13"/>
  <c r="AD19" i="13" s="1"/>
  <c r="Y19" i="13"/>
  <c r="X19" i="13"/>
  <c r="W19" i="13"/>
  <c r="AA19" i="13" s="1"/>
  <c r="V19" i="13"/>
  <c r="I19" i="13"/>
  <c r="H19" i="13"/>
  <c r="AI19" i="13" s="1"/>
  <c r="E19" i="13"/>
  <c r="A19" i="13"/>
  <c r="AR18" i="13"/>
  <c r="AM18" i="13"/>
  <c r="AH18" i="13"/>
  <c r="AD18" i="13"/>
  <c r="AQ18" i="13" s="1"/>
  <c r="AC18" i="13"/>
  <c r="AB18" i="13"/>
  <c r="Z18" i="13"/>
  <c r="Y18" i="13"/>
  <c r="X18" i="13"/>
  <c r="AJ18" i="13" s="1"/>
  <c r="AK18" i="13" s="1"/>
  <c r="W18" i="13"/>
  <c r="V18" i="13"/>
  <c r="I18" i="13"/>
  <c r="H18" i="13"/>
  <c r="E18" i="13"/>
  <c r="A18" i="13"/>
  <c r="AR17" i="13"/>
  <c r="AM17" i="13"/>
  <c r="AL17" i="13" s="1"/>
  <c r="AJ17" i="13"/>
  <c r="AK17" i="13" s="1"/>
  <c r="AH17" i="13"/>
  <c r="AC17" i="13"/>
  <c r="AB17" i="13"/>
  <c r="Z17" i="13"/>
  <c r="Y17" i="13"/>
  <c r="X17" i="13"/>
  <c r="W17" i="13"/>
  <c r="V17" i="13"/>
  <c r="I17" i="13"/>
  <c r="H17" i="13"/>
  <c r="AI17" i="13" s="1"/>
  <c r="E17" i="13"/>
  <c r="A17" i="13"/>
  <c r="AR16" i="13"/>
  <c r="AJ16" i="13"/>
  <c r="AK16" i="13" s="1"/>
  <c r="AH16" i="13"/>
  <c r="AD16" i="13"/>
  <c r="AQ16" i="13" s="1"/>
  <c r="AC16" i="13"/>
  <c r="AB16" i="13"/>
  <c r="Z16" i="13"/>
  <c r="Y16" i="13"/>
  <c r="AM16" i="13" s="1"/>
  <c r="X16" i="13"/>
  <c r="W16" i="13"/>
  <c r="V16" i="13"/>
  <c r="I16" i="13"/>
  <c r="H16" i="13"/>
  <c r="AI16" i="13" s="1"/>
  <c r="E16" i="13"/>
  <c r="A16" i="13"/>
  <c r="AR15" i="13"/>
  <c r="AJ15" i="13"/>
  <c r="AK15" i="13" s="1"/>
  <c r="AH15" i="13"/>
  <c r="AM15" i="13" s="1"/>
  <c r="AC15" i="13"/>
  <c r="AB15" i="13"/>
  <c r="Z15" i="13"/>
  <c r="Y15" i="13"/>
  <c r="X15" i="13"/>
  <c r="W15" i="13"/>
  <c r="V15" i="13"/>
  <c r="I15" i="13"/>
  <c r="H15" i="13"/>
  <c r="AI15" i="13" s="1"/>
  <c r="E15" i="13"/>
  <c r="A15" i="13"/>
  <c r="AR14" i="13"/>
  <c r="AM14" i="13"/>
  <c r="AK14" i="13"/>
  <c r="AH14" i="13"/>
  <c r="AI14" i="13" s="1"/>
  <c r="AC14" i="13"/>
  <c r="AB14" i="13"/>
  <c r="Z14" i="13"/>
  <c r="AD14" i="13" s="1"/>
  <c r="AQ14" i="13" s="1"/>
  <c r="X14" i="13"/>
  <c r="AJ14" i="13" s="1"/>
  <c r="W14" i="13"/>
  <c r="AA14" i="13" s="1"/>
  <c r="V14" i="13"/>
  <c r="I14" i="13"/>
  <c r="H14" i="13"/>
  <c r="E14" i="13"/>
  <c r="Y14" i="13" s="1"/>
  <c r="A14" i="13"/>
  <c r="AR13" i="13"/>
  <c r="AK13" i="13"/>
  <c r="AH13" i="13"/>
  <c r="AD13" i="13"/>
  <c r="AQ13" i="13" s="1"/>
  <c r="AC13" i="13"/>
  <c r="AB13" i="13"/>
  <c r="AA13" i="13"/>
  <c r="Z13" i="13"/>
  <c r="X13" i="13"/>
  <c r="AJ13" i="13" s="1"/>
  <c r="W13" i="13"/>
  <c r="V13" i="13"/>
  <c r="I13" i="13"/>
  <c r="H13" i="13"/>
  <c r="E13" i="13"/>
  <c r="Y13" i="13" s="1"/>
  <c r="A13" i="13"/>
  <c r="AR12" i="13"/>
  <c r="AK12" i="13"/>
  <c r="AJ12" i="13"/>
  <c r="AH12" i="13"/>
  <c r="AC12" i="13"/>
  <c r="AB12" i="13"/>
  <c r="Z12" i="13"/>
  <c r="AD12" i="13" s="1"/>
  <c r="AQ12" i="13" s="1"/>
  <c r="X12" i="13"/>
  <c r="W12" i="13"/>
  <c r="AA12" i="13" s="1"/>
  <c r="V12" i="13"/>
  <c r="I12" i="13"/>
  <c r="H12" i="13"/>
  <c r="E12" i="13"/>
  <c r="Y12" i="13" s="1"/>
  <c r="A12" i="13"/>
  <c r="AR11" i="13"/>
  <c r="AK11" i="13"/>
  <c r="AJ11" i="13"/>
  <c r="AH11" i="13"/>
  <c r="AD11" i="13"/>
  <c r="AQ11" i="13" s="1"/>
  <c r="AC11" i="13"/>
  <c r="AB11" i="13"/>
  <c r="AA11" i="13"/>
  <c r="Z11" i="13"/>
  <c r="X11" i="13"/>
  <c r="W11" i="13"/>
  <c r="V11" i="13"/>
  <c r="I11" i="13"/>
  <c r="H11" i="13"/>
  <c r="E11" i="13"/>
  <c r="Y11" i="13" s="1"/>
  <c r="A11" i="13"/>
  <c r="AR10" i="13"/>
  <c r="AK10" i="13"/>
  <c r="AJ10" i="13"/>
  <c r="AH10" i="13"/>
  <c r="AC10" i="13"/>
  <c r="AB10" i="13"/>
  <c r="Z10" i="13"/>
  <c r="AD10" i="13" s="1"/>
  <c r="AQ10" i="13" s="1"/>
  <c r="X10" i="13"/>
  <c r="W10" i="13"/>
  <c r="AA10" i="13" s="1"/>
  <c r="V10" i="13"/>
  <c r="I10" i="13"/>
  <c r="H10" i="13"/>
  <c r="E10" i="13"/>
  <c r="Y10" i="13" s="1"/>
  <c r="A10" i="13"/>
  <c r="AR9" i="13"/>
  <c r="AK9" i="13"/>
  <c r="AJ9" i="13"/>
  <c r="AH9" i="13"/>
  <c r="AD9" i="13"/>
  <c r="AQ9" i="13" s="1"/>
  <c r="AC9" i="13"/>
  <c r="AB9" i="13"/>
  <c r="AA9" i="13"/>
  <c r="Z9" i="13"/>
  <c r="X9" i="13"/>
  <c r="W9" i="13"/>
  <c r="V9" i="13"/>
  <c r="I9" i="13"/>
  <c r="H9" i="13"/>
  <c r="E9" i="13"/>
  <c r="Y9" i="13" s="1"/>
  <c r="A9" i="13"/>
  <c r="AR8" i="13"/>
  <c r="AK8" i="13"/>
  <c r="AJ8" i="13"/>
  <c r="AH8" i="13"/>
  <c r="AC8" i="13"/>
  <c r="AB8" i="13"/>
  <c r="Z8" i="13"/>
  <c r="AD8" i="13" s="1"/>
  <c r="AQ8" i="13" s="1"/>
  <c r="Y8" i="13"/>
  <c r="X8" i="13"/>
  <c r="W8" i="13"/>
  <c r="AA8" i="13" s="1"/>
  <c r="V8" i="13"/>
  <c r="I8" i="13"/>
  <c r="H8" i="13"/>
  <c r="E8" i="13"/>
  <c r="A8" i="13"/>
  <c r="AR7" i="13"/>
  <c r="AK7" i="13"/>
  <c r="AJ7" i="13"/>
  <c r="AH7" i="13"/>
  <c r="AD7" i="13"/>
  <c r="AQ7" i="13" s="1"/>
  <c r="AC7" i="13"/>
  <c r="AB7" i="13"/>
  <c r="Z7" i="13"/>
  <c r="Y7" i="13"/>
  <c r="X7" i="13"/>
  <c r="W7" i="13"/>
  <c r="AA7" i="13" s="1"/>
  <c r="V7" i="13"/>
  <c r="I7" i="13"/>
  <c r="H7" i="13"/>
  <c r="E7" i="13"/>
  <c r="A7" i="13"/>
  <c r="AR6" i="13"/>
  <c r="AK6" i="13"/>
  <c r="AJ6" i="13"/>
  <c r="AH6" i="13"/>
  <c r="AC6" i="13"/>
  <c r="AB6" i="13"/>
  <c r="AA6" i="13"/>
  <c r="Z6" i="13"/>
  <c r="AD6" i="13" s="1"/>
  <c r="AQ6" i="13" s="1"/>
  <c r="Y6" i="13"/>
  <c r="X6" i="13"/>
  <c r="W6" i="13"/>
  <c r="V6" i="13"/>
  <c r="I6" i="13"/>
  <c r="H6" i="13"/>
  <c r="E6" i="13"/>
  <c r="A6" i="13"/>
  <c r="AR5" i="13"/>
  <c r="AK5" i="13"/>
  <c r="AI5" i="13"/>
  <c r="AH5" i="13"/>
  <c r="AM5" i="13" s="1"/>
  <c r="AL5" i="13" s="1"/>
  <c r="AC5" i="13"/>
  <c r="AB5" i="13"/>
  <c r="Z5" i="13"/>
  <c r="AD5" i="13" s="1"/>
  <c r="AQ5" i="13" s="1"/>
  <c r="Y5" i="13"/>
  <c r="X5" i="13"/>
  <c r="AJ5" i="13" s="1"/>
  <c r="W5" i="13"/>
  <c r="V5" i="13"/>
  <c r="I5" i="13"/>
  <c r="H5" i="13"/>
  <c r="E5" i="13"/>
  <c r="A5" i="13"/>
  <c r="AR4" i="13"/>
  <c r="AQ4" i="13"/>
  <c r="AJ4" i="13"/>
  <c r="AK4" i="13" s="1"/>
  <c r="AH4" i="13"/>
  <c r="AD4" i="13"/>
  <c r="AC4" i="13"/>
  <c r="AB4" i="13"/>
  <c r="AA4" i="13"/>
  <c r="Z4" i="13"/>
  <c r="X4" i="13"/>
  <c r="W4" i="13"/>
  <c r="V4" i="13"/>
  <c r="I4" i="13"/>
  <c r="H4" i="13"/>
  <c r="E4" i="13"/>
  <c r="Y4" i="13" s="1"/>
  <c r="A4" i="13"/>
  <c r="AR3" i="13"/>
  <c r="AO3" i="13"/>
  <c r="AI3" i="13"/>
  <c r="AH3" i="13"/>
  <c r="AM3" i="13" s="1"/>
  <c r="AN3" i="13" s="1"/>
  <c r="AD3" i="13"/>
  <c r="AQ3" i="13" s="1"/>
  <c r="AC3" i="13"/>
  <c r="AB3" i="13"/>
  <c r="Z3" i="13"/>
  <c r="Y3" i="13"/>
  <c r="X3" i="13"/>
  <c r="AJ3" i="13" s="1"/>
  <c r="AK3" i="13" s="1"/>
  <c r="W3" i="13"/>
  <c r="AA3" i="13" s="1"/>
  <c r="V3" i="13"/>
  <c r="I3" i="13"/>
  <c r="H3" i="13"/>
  <c r="E3" i="13"/>
  <c r="A3" i="13"/>
  <c r="AR2" i="13"/>
  <c r="AQ2" i="13"/>
  <c r="AJ2" i="13"/>
  <c r="AK2" i="13" s="1"/>
  <c r="AH2" i="13"/>
  <c r="AD2" i="13"/>
  <c r="AC2" i="13"/>
  <c r="AB2" i="13"/>
  <c r="Z2" i="13"/>
  <c r="Y2" i="13"/>
  <c r="X2" i="13"/>
  <c r="W2" i="13"/>
  <c r="V2" i="13"/>
  <c r="I2" i="13"/>
  <c r="H2" i="13"/>
  <c r="E2" i="13"/>
  <c r="A2" i="13"/>
  <c r="P32" i="12"/>
  <c r="O32" i="12"/>
  <c r="N32" i="12"/>
  <c r="M32" i="12"/>
  <c r="L32" i="12"/>
  <c r="AU31" i="12"/>
  <c r="AS31" i="12"/>
  <c r="AL31" i="12"/>
  <c r="AH31" i="12"/>
  <c r="AD31" i="12"/>
  <c r="AR31" i="12" s="1"/>
  <c r="AC31" i="12"/>
  <c r="AB31" i="12"/>
  <c r="Z31" i="12"/>
  <c r="Y31" i="12"/>
  <c r="X31" i="12"/>
  <c r="AK31" i="12" s="1"/>
  <c r="W31" i="12"/>
  <c r="AA31" i="12" s="1"/>
  <c r="V31" i="12"/>
  <c r="I31" i="12"/>
  <c r="A31" i="12"/>
  <c r="AU30" i="12"/>
  <c r="AS30" i="12"/>
  <c r="AH30" i="12"/>
  <c r="AC30" i="12"/>
  <c r="AB30" i="12"/>
  <c r="Z30" i="12"/>
  <c r="Y30" i="12"/>
  <c r="X30" i="12"/>
  <c r="W30" i="12"/>
  <c r="V30" i="12"/>
  <c r="I30" i="12"/>
  <c r="A30" i="12"/>
  <c r="AV29" i="12"/>
  <c r="AU29" i="12"/>
  <c r="AS29" i="12"/>
  <c r="AO29" i="12"/>
  <c r="AH29" i="12"/>
  <c r="AN29" i="12" s="1"/>
  <c r="AM29" i="12" s="1"/>
  <c r="AD29" i="12"/>
  <c r="AR29" i="12" s="1"/>
  <c r="AC29" i="12"/>
  <c r="AB29" i="12"/>
  <c r="AA29" i="12"/>
  <c r="Z29" i="12"/>
  <c r="Y29" i="12"/>
  <c r="X29" i="12"/>
  <c r="AK29" i="12" s="1"/>
  <c r="AL29" i="12" s="1"/>
  <c r="W29" i="12"/>
  <c r="V29" i="12"/>
  <c r="I29" i="12"/>
  <c r="A29" i="12"/>
  <c r="AV28" i="12"/>
  <c r="AU28" i="12"/>
  <c r="AS28" i="12"/>
  <c r="AP28" i="12"/>
  <c r="AH28" i="12"/>
  <c r="AN28" i="12" s="1"/>
  <c r="AO28" i="12" s="1"/>
  <c r="AQ28" i="12" s="1"/>
  <c r="AD28" i="12"/>
  <c r="AR28" i="12" s="1"/>
  <c r="AC28" i="12"/>
  <c r="AB28" i="12"/>
  <c r="Z28" i="12"/>
  <c r="Y28" i="12"/>
  <c r="X28" i="12"/>
  <c r="AK28" i="12" s="1"/>
  <c r="AL28" i="12" s="1"/>
  <c r="W28" i="12"/>
  <c r="AA28" i="12" s="1"/>
  <c r="V28" i="12"/>
  <c r="I28" i="12"/>
  <c r="A28" i="12"/>
  <c r="AU27" i="12"/>
  <c r="AS27" i="12"/>
  <c r="AL27" i="12"/>
  <c r="AH27" i="12"/>
  <c r="AC27" i="12"/>
  <c r="AB27" i="12"/>
  <c r="AA27" i="12"/>
  <c r="Z27" i="12"/>
  <c r="AD27" i="12" s="1"/>
  <c r="AR27" i="12" s="1"/>
  <c r="Y27" i="12"/>
  <c r="AN27" i="12" s="1"/>
  <c r="AM27" i="12" s="1"/>
  <c r="X27" i="12"/>
  <c r="AK27" i="12" s="1"/>
  <c r="W27" i="12"/>
  <c r="V27" i="12"/>
  <c r="I27" i="12"/>
  <c r="A27" i="12"/>
  <c r="AV26" i="12"/>
  <c r="AU26" i="12"/>
  <c r="AS26" i="12"/>
  <c r="AK26" i="12"/>
  <c r="AL26" i="12" s="1"/>
  <c r="AH26" i="12"/>
  <c r="AC26" i="12"/>
  <c r="AB26" i="12"/>
  <c r="AA26" i="12"/>
  <c r="Z26" i="12"/>
  <c r="Y26" i="12"/>
  <c r="X26" i="12"/>
  <c r="W26" i="12"/>
  <c r="V26" i="12"/>
  <c r="I26" i="12"/>
  <c r="A26" i="12"/>
  <c r="AU25" i="12"/>
  <c r="AS25" i="12"/>
  <c r="AN25" i="12"/>
  <c r="AK25" i="12"/>
  <c r="AL25" i="12" s="1"/>
  <c r="AH25" i="12"/>
  <c r="AC25" i="12"/>
  <c r="AB25" i="12"/>
  <c r="Z25" i="12"/>
  <c r="Y25" i="12"/>
  <c r="X25" i="12"/>
  <c r="W25" i="12"/>
  <c r="V25" i="12"/>
  <c r="I25" i="12"/>
  <c r="A25" i="12"/>
  <c r="AU24" i="12"/>
  <c r="AS24" i="12"/>
  <c r="AK24" i="12"/>
  <c r="AL24" i="12" s="1"/>
  <c r="AH24" i="12"/>
  <c r="AC24" i="12"/>
  <c r="AB24" i="12"/>
  <c r="Z24" i="12"/>
  <c r="Y24" i="12"/>
  <c r="AN24" i="12" s="1"/>
  <c r="X24" i="12"/>
  <c r="AD24" i="12" s="1"/>
  <c r="AR24" i="12" s="1"/>
  <c r="W24" i="12"/>
  <c r="V24" i="12"/>
  <c r="I24" i="12"/>
  <c r="A24" i="12"/>
  <c r="AU23" i="12"/>
  <c r="AS23" i="12"/>
  <c r="AN23" i="12"/>
  <c r="AH23" i="12"/>
  <c r="AC23" i="12"/>
  <c r="AB23" i="12"/>
  <c r="Z23" i="12"/>
  <c r="Y23" i="12"/>
  <c r="X23" i="12"/>
  <c r="W23" i="12"/>
  <c r="V23" i="12"/>
  <c r="I23" i="12"/>
  <c r="A23" i="12"/>
  <c r="AU22" i="12"/>
  <c r="AS22" i="12"/>
  <c r="AQ22" i="12"/>
  <c r="AP22" i="12"/>
  <c r="AO22" i="12"/>
  <c r="AN22" i="12"/>
  <c r="AM22" i="12" s="1"/>
  <c r="AH22" i="12"/>
  <c r="AD22" i="12"/>
  <c r="AR22" i="12" s="1"/>
  <c r="AC22" i="12"/>
  <c r="AB22" i="12"/>
  <c r="AA22" i="12"/>
  <c r="Z22" i="12"/>
  <c r="Y22" i="12"/>
  <c r="X22" i="12"/>
  <c r="AK22" i="12" s="1"/>
  <c r="AL22" i="12" s="1"/>
  <c r="W22" i="12"/>
  <c r="V22" i="12"/>
  <c r="I22" i="12"/>
  <c r="A22" i="12"/>
  <c r="AU21" i="12"/>
  <c r="AS21" i="12"/>
  <c r="AM21" i="12"/>
  <c r="AH21" i="12"/>
  <c r="AD21" i="12"/>
  <c r="AR21" i="12" s="1"/>
  <c r="AC21" i="12"/>
  <c r="AB21" i="12"/>
  <c r="AA21" i="12"/>
  <c r="Z21" i="12"/>
  <c r="Y21" i="12"/>
  <c r="AN21" i="12" s="1"/>
  <c r="AO21" i="12" s="1"/>
  <c r="X21" i="12"/>
  <c r="AK21" i="12" s="1"/>
  <c r="AL21" i="12" s="1"/>
  <c r="W21" i="12"/>
  <c r="V21" i="12"/>
  <c r="I21" i="12"/>
  <c r="A21" i="12"/>
  <c r="AU20" i="12"/>
  <c r="AS20" i="12"/>
  <c r="AR20" i="12"/>
  <c r="AL20" i="12"/>
  <c r="AH20" i="12"/>
  <c r="AC20" i="12"/>
  <c r="AB20" i="12"/>
  <c r="Z20" i="12"/>
  <c r="AD20" i="12" s="1"/>
  <c r="Y20" i="12"/>
  <c r="X20" i="12"/>
  <c r="AK20" i="12" s="1"/>
  <c r="W20" i="12"/>
  <c r="AA20" i="12" s="1"/>
  <c r="V20" i="12"/>
  <c r="I20" i="12"/>
  <c r="A20" i="12"/>
  <c r="AV19" i="12"/>
  <c r="AU19" i="12"/>
  <c r="AS19" i="12"/>
  <c r="AN19" i="12"/>
  <c r="AH19" i="12"/>
  <c r="AD19" i="12"/>
  <c r="AR19" i="12" s="1"/>
  <c r="AC19" i="12"/>
  <c r="AB19" i="12"/>
  <c r="AA19" i="12"/>
  <c r="Z19" i="12"/>
  <c r="Y19" i="12"/>
  <c r="X19" i="12"/>
  <c r="AK19" i="12" s="1"/>
  <c r="AL19" i="12" s="1"/>
  <c r="W19" i="12"/>
  <c r="V19" i="12"/>
  <c r="I19" i="12"/>
  <c r="A19" i="12"/>
  <c r="AV18" i="12"/>
  <c r="AU18" i="12"/>
  <c r="AS18" i="12"/>
  <c r="AK18" i="12"/>
  <c r="AL18" i="12" s="1"/>
  <c r="AH18" i="12"/>
  <c r="AN18" i="12" s="1"/>
  <c r="AC18" i="12"/>
  <c r="AB18" i="12"/>
  <c r="Z18" i="12"/>
  <c r="Y18" i="12"/>
  <c r="X18" i="12"/>
  <c r="AD18" i="12" s="1"/>
  <c r="AR18" i="12" s="1"/>
  <c r="W18" i="12"/>
  <c r="AA18" i="12" s="1"/>
  <c r="V18" i="12"/>
  <c r="I18" i="12"/>
  <c r="A18" i="12"/>
  <c r="AV17" i="12"/>
  <c r="AU17" i="12"/>
  <c r="AS17" i="12"/>
  <c r="AR17" i="12"/>
  <c r="AH17" i="12"/>
  <c r="AD17" i="12"/>
  <c r="AC17" i="12"/>
  <c r="AB17" i="12"/>
  <c r="Z17" i="12"/>
  <c r="Y17" i="12"/>
  <c r="X17" i="12"/>
  <c r="AK17" i="12" s="1"/>
  <c r="AL17" i="12" s="1"/>
  <c r="W17" i="12"/>
  <c r="AA17" i="12" s="1"/>
  <c r="V17" i="12"/>
  <c r="I17" i="12"/>
  <c r="A17" i="12"/>
  <c r="AV16" i="12"/>
  <c r="AU16" i="12"/>
  <c r="AS16" i="12"/>
  <c r="AO16" i="12"/>
  <c r="AN16" i="12"/>
  <c r="AM16" i="12" s="1"/>
  <c r="AK16" i="12"/>
  <c r="AL16" i="12" s="1"/>
  <c r="AH16" i="12"/>
  <c r="AC16" i="12"/>
  <c r="AB16" i="12"/>
  <c r="Z16" i="12"/>
  <c r="Y16" i="12"/>
  <c r="X16" i="12"/>
  <c r="W16" i="12"/>
  <c r="V16" i="12"/>
  <c r="I16" i="12"/>
  <c r="A16" i="12"/>
  <c r="AU15" i="12"/>
  <c r="AS15" i="12"/>
  <c r="AO15" i="12"/>
  <c r="AH15" i="12"/>
  <c r="AC15" i="12"/>
  <c r="AB15" i="12"/>
  <c r="AA15" i="12"/>
  <c r="Z15" i="12"/>
  <c r="AD15" i="12" s="1"/>
  <c r="AR15" i="12" s="1"/>
  <c r="Y15" i="12"/>
  <c r="AN15" i="12" s="1"/>
  <c r="AM15" i="12" s="1"/>
  <c r="X15" i="12"/>
  <c r="AK15" i="12" s="1"/>
  <c r="AL15" i="12" s="1"/>
  <c r="W15" i="12"/>
  <c r="V15" i="12"/>
  <c r="I15" i="12"/>
  <c r="A15" i="12"/>
  <c r="AU14" i="12"/>
  <c r="AS14" i="12"/>
  <c r="AK14" i="12"/>
  <c r="AL14" i="12" s="1"/>
  <c r="AH14" i="12"/>
  <c r="AC14" i="12"/>
  <c r="AB14" i="12"/>
  <c r="Z14" i="12"/>
  <c r="AD14" i="12" s="1"/>
  <c r="AR14" i="12" s="1"/>
  <c r="Y14" i="12"/>
  <c r="X14" i="12"/>
  <c r="W14" i="12"/>
  <c r="V14" i="12"/>
  <c r="I14" i="12"/>
  <c r="A14" i="12"/>
  <c r="AU13" i="12"/>
  <c r="AS13" i="12"/>
  <c r="AH13" i="12"/>
  <c r="AN13" i="12" s="1"/>
  <c r="AC13" i="12"/>
  <c r="AB13" i="12"/>
  <c r="Z13" i="12"/>
  <c r="Y13" i="12"/>
  <c r="X13" i="12"/>
  <c r="AK13" i="12" s="1"/>
  <c r="AL13" i="12" s="1"/>
  <c r="W13" i="12"/>
  <c r="V13" i="12"/>
  <c r="I13" i="12"/>
  <c r="A13" i="12"/>
  <c r="AV12" i="12"/>
  <c r="AU12" i="12"/>
  <c r="AS12" i="12"/>
  <c r="AR12" i="12"/>
  <c r="AL12" i="12"/>
  <c r="AH12" i="12"/>
  <c r="AD12" i="12"/>
  <c r="AC12" i="12"/>
  <c r="AB12" i="12"/>
  <c r="Z12" i="12"/>
  <c r="Y12" i="12"/>
  <c r="X12" i="12"/>
  <c r="AK12" i="12" s="1"/>
  <c r="W12" i="12"/>
  <c r="AA12" i="12" s="1"/>
  <c r="V12" i="12"/>
  <c r="I12" i="12"/>
  <c r="A12" i="12"/>
  <c r="AV11" i="12"/>
  <c r="AU11" i="12"/>
  <c r="AS11" i="12"/>
  <c r="AO11" i="12"/>
  <c r="AN11" i="12"/>
  <c r="AM11" i="12" s="1"/>
  <c r="AH11" i="12"/>
  <c r="AC11" i="12"/>
  <c r="AB11" i="12"/>
  <c r="AA11" i="12"/>
  <c r="Z11" i="12"/>
  <c r="Y11" i="12"/>
  <c r="X11" i="12"/>
  <c r="AK11" i="12" s="1"/>
  <c r="AL11" i="12" s="1"/>
  <c r="W11" i="12"/>
  <c r="V11" i="12"/>
  <c r="I11" i="12"/>
  <c r="A11" i="12"/>
  <c r="AU10" i="12"/>
  <c r="AS10" i="12"/>
  <c r="AL10" i="12"/>
  <c r="AK10" i="12"/>
  <c r="AC10" i="12"/>
  <c r="AB10" i="12"/>
  <c r="Z10" i="12"/>
  <c r="AD10" i="12" s="1"/>
  <c r="AR10" i="12" s="1"/>
  <c r="Y10" i="12"/>
  <c r="AN10" i="12" s="1"/>
  <c r="X10" i="12"/>
  <c r="W10" i="12"/>
  <c r="AA10" i="12" s="1"/>
  <c r="V10" i="12"/>
  <c r="I10" i="12"/>
  <c r="A10" i="12"/>
  <c r="AV9" i="12"/>
  <c r="AU9" i="12"/>
  <c r="AS9" i="12"/>
  <c r="AH9" i="12"/>
  <c r="AC9" i="12"/>
  <c r="AB9" i="12"/>
  <c r="Z9" i="12"/>
  <c r="Y9" i="12"/>
  <c r="X9" i="12"/>
  <c r="W9" i="12"/>
  <c r="V9" i="12"/>
  <c r="I9" i="12"/>
  <c r="A9" i="12"/>
  <c r="AV8" i="12"/>
  <c r="AU8" i="12"/>
  <c r="AS8" i="12"/>
  <c r="AN8" i="12"/>
  <c r="AK8" i="12"/>
  <c r="AL8" i="12" s="1"/>
  <c r="AH8" i="12"/>
  <c r="AC8" i="12"/>
  <c r="AB8" i="12"/>
  <c r="Z8" i="12"/>
  <c r="Y8" i="12"/>
  <c r="X8" i="12"/>
  <c r="AD8" i="12" s="1"/>
  <c r="AR8" i="12" s="1"/>
  <c r="W8" i="12"/>
  <c r="V8" i="12"/>
  <c r="I8" i="12"/>
  <c r="A8" i="12"/>
  <c r="AU7" i="12"/>
  <c r="AS7" i="12"/>
  <c r="AN7" i="12"/>
  <c r="AH7" i="12"/>
  <c r="AD7" i="12"/>
  <c r="AR7" i="12" s="1"/>
  <c r="AC7" i="12"/>
  <c r="AB7" i="12"/>
  <c r="AA7" i="12"/>
  <c r="Z7" i="12"/>
  <c r="Y7" i="12"/>
  <c r="X7" i="12"/>
  <c r="AK7" i="12" s="1"/>
  <c r="AL7" i="12" s="1"/>
  <c r="W7" i="12"/>
  <c r="V7" i="12"/>
  <c r="I7" i="12"/>
  <c r="A7" i="12"/>
  <c r="AU6" i="12"/>
  <c r="AS6" i="12"/>
  <c r="AR6" i="12"/>
  <c r="AL6" i="12"/>
  <c r="AH6" i="12"/>
  <c r="AC6" i="12"/>
  <c r="AB6" i="12"/>
  <c r="Z6" i="12"/>
  <c r="AD6" i="12" s="1"/>
  <c r="Y6" i="12"/>
  <c r="AN6" i="12" s="1"/>
  <c r="X6" i="12"/>
  <c r="AK6" i="12" s="1"/>
  <c r="W6" i="12"/>
  <c r="AA6" i="12" s="1"/>
  <c r="V6" i="12"/>
  <c r="I6" i="12"/>
  <c r="A6" i="12"/>
  <c r="AU5" i="12"/>
  <c r="AS5" i="12"/>
  <c r="AN5" i="12"/>
  <c r="AK5" i="12"/>
  <c r="AL5" i="12" s="1"/>
  <c r="AH5" i="12"/>
  <c r="AC5" i="12"/>
  <c r="AB5" i="12"/>
  <c r="Z5" i="12"/>
  <c r="AD5" i="12" s="1"/>
  <c r="AR5" i="12" s="1"/>
  <c r="Y5" i="12"/>
  <c r="X5" i="12"/>
  <c r="W5" i="12"/>
  <c r="AA5" i="12" s="1"/>
  <c r="V5" i="12"/>
  <c r="I5" i="12"/>
  <c r="A5" i="12"/>
  <c r="AV4" i="12"/>
  <c r="AU4" i="12"/>
  <c r="AS4" i="12"/>
  <c r="AH4" i="12"/>
  <c r="AN4" i="12" s="1"/>
  <c r="AC4" i="12"/>
  <c r="AB4" i="12"/>
  <c r="Z4" i="12"/>
  <c r="Y4" i="12"/>
  <c r="X4" i="12"/>
  <c r="AK4" i="12" s="1"/>
  <c r="AL4" i="12" s="1"/>
  <c r="W4" i="12"/>
  <c r="V4" i="12"/>
  <c r="I4" i="12"/>
  <c r="A4" i="12"/>
  <c r="AU3" i="12"/>
  <c r="AS3" i="12"/>
  <c r="AK3" i="12"/>
  <c r="AL3" i="12" s="1"/>
  <c r="AH3" i="12"/>
  <c r="AN3" i="12" s="1"/>
  <c r="AC3" i="12"/>
  <c r="AB3" i="12"/>
  <c r="Z3" i="12"/>
  <c r="Y3" i="12"/>
  <c r="X3" i="12"/>
  <c r="AD3" i="12" s="1"/>
  <c r="AR3" i="12" s="1"/>
  <c r="W3" i="12"/>
  <c r="AA3" i="12" s="1"/>
  <c r="V3" i="12"/>
  <c r="I3" i="12"/>
  <c r="A3" i="12"/>
  <c r="AU2" i="12"/>
  <c r="AS2" i="12"/>
  <c r="AN2" i="12"/>
  <c r="AH2" i="12"/>
  <c r="AC2" i="12"/>
  <c r="AB2" i="12"/>
  <c r="AA2" i="12"/>
  <c r="Z2" i="12"/>
  <c r="AD2" i="12" s="1"/>
  <c r="Y2" i="12"/>
  <c r="X2" i="12"/>
  <c r="W2" i="12"/>
  <c r="V2" i="12"/>
  <c r="I2" i="12"/>
  <c r="A2" i="12"/>
  <c r="Q34" i="11"/>
  <c r="O34" i="11"/>
  <c r="N34" i="11"/>
  <c r="M34" i="11"/>
  <c r="L34" i="11"/>
  <c r="AK32" i="11"/>
  <c r="AH32" i="11"/>
  <c r="AG32" i="11"/>
  <c r="AF32" i="11"/>
  <c r="AD32" i="11"/>
  <c r="AC32" i="11"/>
  <c r="AD31" i="11"/>
  <c r="AC31" i="11"/>
  <c r="X31" i="11"/>
  <c r="W31" i="11"/>
  <c r="U31" i="11"/>
  <c r="Y31" i="11" s="1"/>
  <c r="AK31" i="11" s="1"/>
  <c r="S31" i="11"/>
  <c r="AF31" i="11" s="1"/>
  <c r="R31" i="11"/>
  <c r="Q31" i="11"/>
  <c r="I31" i="11"/>
  <c r="H31" i="11"/>
  <c r="V31" i="11" s="1"/>
  <c r="E31" i="11"/>
  <c r="T31" i="11" s="1"/>
  <c r="AG31" i="11" s="1"/>
  <c r="AH31" i="11" s="1"/>
  <c r="A31" i="11"/>
  <c r="AD30" i="11"/>
  <c r="AC30" i="11"/>
  <c r="X30" i="11"/>
  <c r="W30" i="11"/>
  <c r="V30" i="11"/>
  <c r="U30" i="11"/>
  <c r="S30" i="11"/>
  <c r="AF30" i="11" s="1"/>
  <c r="R30" i="11"/>
  <c r="Q30" i="11"/>
  <c r="I30" i="11"/>
  <c r="H30" i="11"/>
  <c r="E30" i="11"/>
  <c r="T30" i="11" s="1"/>
  <c r="AG30" i="11" s="1"/>
  <c r="AH30" i="11" s="1"/>
  <c r="A30" i="11"/>
  <c r="AG29" i="11"/>
  <c r="AD29" i="11"/>
  <c r="AC29" i="11"/>
  <c r="X29" i="11"/>
  <c r="W29" i="11"/>
  <c r="U29" i="11"/>
  <c r="Y29" i="11" s="1"/>
  <c r="AK29" i="11" s="1"/>
  <c r="T29" i="11"/>
  <c r="S29" i="11"/>
  <c r="AF29" i="11" s="1"/>
  <c r="R29" i="11"/>
  <c r="V29" i="11" s="1"/>
  <c r="Q29" i="11"/>
  <c r="I29" i="11"/>
  <c r="H29" i="11"/>
  <c r="E29" i="11"/>
  <c r="A29" i="11"/>
  <c r="AF28" i="11"/>
  <c r="AC28" i="11"/>
  <c r="AG28" i="11" s="1"/>
  <c r="X28" i="11"/>
  <c r="W28" i="11"/>
  <c r="U28" i="11"/>
  <c r="Y28" i="11" s="1"/>
  <c r="AK28" i="11" s="1"/>
  <c r="T28" i="11"/>
  <c r="S28" i="11"/>
  <c r="R28" i="11"/>
  <c r="V28" i="11" s="1"/>
  <c r="Q28" i="11"/>
  <c r="I28" i="11"/>
  <c r="H28" i="11"/>
  <c r="AD28" i="11" s="1"/>
  <c r="E28" i="11"/>
  <c r="A28" i="11"/>
  <c r="AC27" i="11"/>
  <c r="X27" i="11"/>
  <c r="W27" i="11"/>
  <c r="U27" i="11"/>
  <c r="T27" i="11"/>
  <c r="S27" i="11"/>
  <c r="Y27" i="11" s="1"/>
  <c r="AK27" i="11" s="1"/>
  <c r="R27" i="11"/>
  <c r="V27" i="11" s="1"/>
  <c r="Q27" i="11"/>
  <c r="I27" i="11"/>
  <c r="H27" i="11"/>
  <c r="E27" i="11"/>
  <c r="A27" i="11"/>
  <c r="AK26" i="11"/>
  <c r="AF26" i="11"/>
  <c r="AC26" i="11"/>
  <c r="Y26" i="11"/>
  <c r="X26" i="11"/>
  <c r="W26" i="11"/>
  <c r="U26" i="11"/>
  <c r="T26" i="11"/>
  <c r="S26" i="11"/>
  <c r="R26" i="11"/>
  <c r="Q26" i="11"/>
  <c r="I26" i="11"/>
  <c r="H26" i="11"/>
  <c r="E26" i="11"/>
  <c r="A26" i="11"/>
  <c r="AD25" i="11"/>
  <c r="AC25" i="11"/>
  <c r="Y25" i="11"/>
  <c r="AK25" i="11" s="1"/>
  <c r="X25" i="11"/>
  <c r="W25" i="11"/>
  <c r="U25" i="11"/>
  <c r="S25" i="11"/>
  <c r="AF25" i="11" s="1"/>
  <c r="R25" i="11"/>
  <c r="Q25" i="11"/>
  <c r="I25" i="11"/>
  <c r="H25" i="11"/>
  <c r="V25" i="11" s="1"/>
  <c r="E25" i="11"/>
  <c r="T25" i="11" s="1"/>
  <c r="AG25" i="11" s="1"/>
  <c r="AH25" i="11" s="1"/>
  <c r="A25" i="11"/>
  <c r="AD24" i="11"/>
  <c r="AC24" i="11"/>
  <c r="X24" i="11"/>
  <c r="W24" i="11"/>
  <c r="V24" i="11"/>
  <c r="U24" i="11"/>
  <c r="S24" i="11"/>
  <c r="Y24" i="11" s="1"/>
  <c r="AK24" i="11" s="1"/>
  <c r="R24" i="11"/>
  <c r="Q24" i="11"/>
  <c r="I24" i="11"/>
  <c r="H24" i="11"/>
  <c r="E24" i="11"/>
  <c r="T24" i="11" s="1"/>
  <c r="A24" i="11"/>
  <c r="AC23" i="11"/>
  <c r="X23" i="11"/>
  <c r="W23" i="11"/>
  <c r="U23" i="11"/>
  <c r="S23" i="11"/>
  <c r="R23" i="11"/>
  <c r="Q23" i="11"/>
  <c r="I23" i="11"/>
  <c r="H23" i="11"/>
  <c r="E23" i="11"/>
  <c r="T23" i="11" s="1"/>
  <c r="AG23" i="11" s="1"/>
  <c r="AH23" i="11" s="1"/>
  <c r="A23" i="11"/>
  <c r="AD22" i="11"/>
  <c r="AC22" i="11"/>
  <c r="X22" i="11"/>
  <c r="W22" i="11"/>
  <c r="V22" i="11"/>
  <c r="U22" i="11"/>
  <c r="Y22" i="11" s="1"/>
  <c r="AK22" i="11" s="1"/>
  <c r="T22" i="11"/>
  <c r="AG22" i="11" s="1"/>
  <c r="AH22" i="11" s="1"/>
  <c r="S22" i="11"/>
  <c r="AF22" i="11" s="1"/>
  <c r="R22" i="11"/>
  <c r="Q22" i="11"/>
  <c r="I22" i="11"/>
  <c r="H22" i="11"/>
  <c r="E22" i="11"/>
  <c r="A22" i="11"/>
  <c r="AK21" i="11"/>
  <c r="AD21" i="11"/>
  <c r="AC21" i="11"/>
  <c r="Y21" i="11"/>
  <c r="X21" i="11"/>
  <c r="W21" i="11"/>
  <c r="U21" i="11"/>
  <c r="S21" i="11"/>
  <c r="AF21" i="11" s="1"/>
  <c r="R21" i="11"/>
  <c r="V21" i="11" s="1"/>
  <c r="Q21" i="11"/>
  <c r="I21" i="11"/>
  <c r="H21" i="11"/>
  <c r="E21" i="11"/>
  <c r="T21" i="11" s="1"/>
  <c r="AG21" i="11" s="1"/>
  <c r="AH21" i="11" s="1"/>
  <c r="A21" i="11"/>
  <c r="AF20" i="11"/>
  <c r="AC20" i="11"/>
  <c r="X20" i="11"/>
  <c r="W20" i="11"/>
  <c r="V20" i="11"/>
  <c r="U20" i="11"/>
  <c r="Y20" i="11" s="1"/>
  <c r="AK20" i="11" s="1"/>
  <c r="S20" i="11"/>
  <c r="R20" i="11"/>
  <c r="Q20" i="11"/>
  <c r="I20" i="11"/>
  <c r="H20" i="11"/>
  <c r="AD20" i="11" s="1"/>
  <c r="E20" i="11"/>
  <c r="T20" i="11" s="1"/>
  <c r="AG20" i="11" s="1"/>
  <c r="AH20" i="11" s="1"/>
  <c r="A20" i="11"/>
  <c r="AC19" i="11"/>
  <c r="AG19" i="11" s="1"/>
  <c r="AH19" i="11" s="1"/>
  <c r="AJ19" i="11" s="1"/>
  <c r="X19" i="11"/>
  <c r="W19" i="11"/>
  <c r="U19" i="11"/>
  <c r="T19" i="11"/>
  <c r="S19" i="11"/>
  <c r="AF19" i="11" s="1"/>
  <c r="R19" i="11"/>
  <c r="V19" i="11" s="1"/>
  <c r="Q19" i="11"/>
  <c r="I19" i="11"/>
  <c r="H19" i="11"/>
  <c r="E19" i="11"/>
  <c r="A19" i="11"/>
  <c r="AF18" i="11"/>
  <c r="AC18" i="11"/>
  <c r="Y18" i="11"/>
  <c r="AK18" i="11" s="1"/>
  <c r="X18" i="11"/>
  <c r="W18" i="11"/>
  <c r="U18" i="11"/>
  <c r="T18" i="11"/>
  <c r="S18" i="11"/>
  <c r="R18" i="11"/>
  <c r="V18" i="11" s="1"/>
  <c r="Q18" i="11"/>
  <c r="I18" i="11"/>
  <c r="H18" i="11"/>
  <c r="E18" i="11"/>
  <c r="A18" i="11"/>
  <c r="AI17" i="11"/>
  <c r="AF17" i="11"/>
  <c r="AC17" i="11"/>
  <c r="X17" i="11"/>
  <c r="W17" i="11"/>
  <c r="U17" i="11"/>
  <c r="Y17" i="11" s="1"/>
  <c r="AK17" i="11" s="1"/>
  <c r="T17" i="11"/>
  <c r="AG17" i="11" s="1"/>
  <c r="AH17" i="11" s="1"/>
  <c r="AJ17" i="11" s="1"/>
  <c r="S17" i="11"/>
  <c r="R17" i="11"/>
  <c r="Q17" i="11"/>
  <c r="I17" i="11"/>
  <c r="H17" i="11"/>
  <c r="E17" i="11"/>
  <c r="A17" i="11"/>
  <c r="AK16" i="11"/>
  <c r="AD16" i="11"/>
  <c r="AC16" i="11"/>
  <c r="X16" i="11"/>
  <c r="W16" i="11"/>
  <c r="U16" i="11"/>
  <c r="Y16" i="11" s="1"/>
  <c r="S16" i="11"/>
  <c r="R16" i="11"/>
  <c r="V16" i="11" s="1"/>
  <c r="Q16" i="11"/>
  <c r="I16" i="11"/>
  <c r="H16" i="11"/>
  <c r="E16" i="11"/>
  <c r="T16" i="11" s="1"/>
  <c r="A16" i="11"/>
  <c r="AF15" i="11"/>
  <c r="AC15" i="11"/>
  <c r="X15" i="11"/>
  <c r="W15" i="11"/>
  <c r="V15" i="11"/>
  <c r="U15" i="11"/>
  <c r="Y15" i="11" s="1"/>
  <c r="AK15" i="11" s="1"/>
  <c r="S15" i="11"/>
  <c r="R15" i="11"/>
  <c r="Q15" i="11"/>
  <c r="I15" i="11"/>
  <c r="H15" i="11"/>
  <c r="E15" i="11"/>
  <c r="T15" i="11" s="1"/>
  <c r="A15" i="11"/>
  <c r="AG14" i="11"/>
  <c r="AH14" i="11" s="1"/>
  <c r="AJ14" i="11" s="1"/>
  <c r="AC14" i="11"/>
  <c r="X14" i="11"/>
  <c r="W14" i="11"/>
  <c r="U14" i="11"/>
  <c r="Y14" i="11" s="1"/>
  <c r="AK14" i="11" s="1"/>
  <c r="T14" i="11"/>
  <c r="S14" i="11"/>
  <c r="AF14" i="11" s="1"/>
  <c r="R14" i="11"/>
  <c r="V14" i="11" s="1"/>
  <c r="Q14" i="11"/>
  <c r="I14" i="11"/>
  <c r="H14" i="11"/>
  <c r="AD14" i="11" s="1"/>
  <c r="E14" i="11"/>
  <c r="A14" i="11"/>
  <c r="AF13" i="11"/>
  <c r="AC13" i="11"/>
  <c r="Y13" i="11"/>
  <c r="AK13" i="11" s="1"/>
  <c r="X13" i="11"/>
  <c r="W13" i="11"/>
  <c r="U13" i="11"/>
  <c r="T13" i="11"/>
  <c r="S13" i="11"/>
  <c r="R13" i="11"/>
  <c r="V13" i="11" s="1"/>
  <c r="Q13" i="11"/>
  <c r="I13" i="11"/>
  <c r="H13" i="11"/>
  <c r="AD13" i="11" s="1"/>
  <c r="E13" i="11"/>
  <c r="A13" i="11"/>
  <c r="AK12" i="11"/>
  <c r="AF12" i="11"/>
  <c r="AC12" i="11"/>
  <c r="X12" i="11"/>
  <c r="W12" i="11"/>
  <c r="U12" i="11"/>
  <c r="Y12" i="11" s="1"/>
  <c r="T12" i="11"/>
  <c r="AG12" i="11" s="1"/>
  <c r="AH12" i="11" s="1"/>
  <c r="S12" i="11"/>
  <c r="R12" i="11"/>
  <c r="Q12" i="11"/>
  <c r="I12" i="11"/>
  <c r="H12" i="11"/>
  <c r="E12" i="11"/>
  <c r="A12" i="11"/>
  <c r="AK11" i="11"/>
  <c r="AF11" i="11"/>
  <c r="AC11" i="11"/>
  <c r="Y11" i="11"/>
  <c r="X11" i="11"/>
  <c r="W11" i="11"/>
  <c r="V11" i="11"/>
  <c r="U11" i="11"/>
  <c r="S11" i="11"/>
  <c r="R11" i="11"/>
  <c r="Q11" i="11"/>
  <c r="I11" i="11"/>
  <c r="H11" i="11"/>
  <c r="E11" i="11"/>
  <c r="T11" i="11" s="1"/>
  <c r="A11" i="11"/>
  <c r="AC10" i="11"/>
  <c r="Y10" i="11"/>
  <c r="AK10" i="11" s="1"/>
  <c r="X10" i="11"/>
  <c r="W10" i="11"/>
  <c r="V10" i="11"/>
  <c r="U10" i="11"/>
  <c r="S10" i="11"/>
  <c r="AF10" i="11" s="1"/>
  <c r="R10" i="11"/>
  <c r="Q10" i="11"/>
  <c r="I10" i="11"/>
  <c r="H10" i="11"/>
  <c r="AD10" i="11" s="1"/>
  <c r="E10" i="11"/>
  <c r="T10" i="11" s="1"/>
  <c r="AG10" i="11" s="1"/>
  <c r="AH10" i="11" s="1"/>
  <c r="A10" i="11"/>
  <c r="AD9" i="11"/>
  <c r="AC9" i="11"/>
  <c r="X9" i="11"/>
  <c r="W9" i="11"/>
  <c r="V9" i="11"/>
  <c r="U9" i="11"/>
  <c r="S9" i="11"/>
  <c r="AF9" i="11" s="1"/>
  <c r="R9" i="11"/>
  <c r="Q9" i="11"/>
  <c r="I9" i="11"/>
  <c r="H9" i="11"/>
  <c r="E9" i="11"/>
  <c r="T9" i="11" s="1"/>
  <c r="AG9" i="11" s="1"/>
  <c r="AH9" i="11" s="1"/>
  <c r="A9" i="11"/>
  <c r="AD8" i="11"/>
  <c r="AC8" i="11"/>
  <c r="Y8" i="11"/>
  <c r="AK8" i="11" s="1"/>
  <c r="X8" i="11"/>
  <c r="W8" i="11"/>
  <c r="U8" i="11"/>
  <c r="S8" i="11"/>
  <c r="AF8" i="11" s="1"/>
  <c r="R8" i="11"/>
  <c r="V8" i="11" s="1"/>
  <c r="Q8" i="11"/>
  <c r="I8" i="11"/>
  <c r="H8" i="11"/>
  <c r="E8" i="11"/>
  <c r="T8" i="11" s="1"/>
  <c r="AG8" i="11" s="1"/>
  <c r="AH8" i="11" s="1"/>
  <c r="A8" i="11"/>
  <c r="AF7" i="11"/>
  <c r="AC7" i="11"/>
  <c r="X7" i="11"/>
  <c r="W7" i="11"/>
  <c r="U7" i="11"/>
  <c r="Y7" i="11" s="1"/>
  <c r="AK7" i="11" s="1"/>
  <c r="S7" i="11"/>
  <c r="R7" i="11"/>
  <c r="Q7" i="11"/>
  <c r="I7" i="11"/>
  <c r="H7" i="11"/>
  <c r="E7" i="11"/>
  <c r="T7" i="11" s="1"/>
  <c r="A7" i="11"/>
  <c r="AD6" i="11"/>
  <c r="AC6" i="11"/>
  <c r="AG6" i="11" s="1"/>
  <c r="AH6" i="11" s="1"/>
  <c r="X6" i="11"/>
  <c r="W6" i="11"/>
  <c r="U6" i="11"/>
  <c r="T6" i="11"/>
  <c r="S6" i="11"/>
  <c r="AF6" i="11" s="1"/>
  <c r="R6" i="11"/>
  <c r="Q6" i="11"/>
  <c r="I6" i="11"/>
  <c r="H6" i="11"/>
  <c r="E6" i="11"/>
  <c r="A6" i="11"/>
  <c r="AF5" i="11"/>
  <c r="AC5" i="11"/>
  <c r="AG5" i="11" s="1"/>
  <c r="AH5" i="11" s="1"/>
  <c r="Y5" i="11"/>
  <c r="AK5" i="11" s="1"/>
  <c r="X5" i="11"/>
  <c r="X34" i="11" s="1"/>
  <c r="W5" i="11"/>
  <c r="U5" i="11"/>
  <c r="T5" i="11"/>
  <c r="S5" i="11"/>
  <c r="R5" i="11"/>
  <c r="Q5" i="11"/>
  <c r="I5" i="11"/>
  <c r="H5" i="11"/>
  <c r="AD5" i="11" s="1"/>
  <c r="E5" i="11"/>
  <c r="A5" i="11"/>
  <c r="AF4" i="11"/>
  <c r="AD4" i="11"/>
  <c r="AC4" i="11"/>
  <c r="X4" i="11"/>
  <c r="W4" i="11"/>
  <c r="V4" i="11"/>
  <c r="U4" i="11"/>
  <c r="Y4" i="11" s="1"/>
  <c r="AK4" i="11" s="1"/>
  <c r="T4" i="11"/>
  <c r="AG4" i="11" s="1"/>
  <c r="AH4" i="11" s="1"/>
  <c r="S4" i="11"/>
  <c r="R4" i="11"/>
  <c r="I4" i="11"/>
  <c r="H4" i="11"/>
  <c r="E4" i="11"/>
  <c r="A4" i="11"/>
  <c r="AG3" i="11"/>
  <c r="AD3" i="11"/>
  <c r="AC3" i="11"/>
  <c r="X3" i="11"/>
  <c r="W3" i="11"/>
  <c r="U3" i="11"/>
  <c r="S3" i="11"/>
  <c r="R3" i="11"/>
  <c r="Q3" i="11"/>
  <c r="I3" i="11"/>
  <c r="H3" i="11"/>
  <c r="E3" i="11"/>
  <c r="T3" i="11" s="1"/>
  <c r="A3" i="11"/>
  <c r="AF2" i="11"/>
  <c r="AC2" i="11"/>
  <c r="X2" i="11"/>
  <c r="W2" i="11"/>
  <c r="V2" i="11"/>
  <c r="U2" i="11"/>
  <c r="S2" i="11"/>
  <c r="R2" i="11"/>
  <c r="Q2" i="11"/>
  <c r="I2" i="11"/>
  <c r="H2" i="11"/>
  <c r="E2" i="11"/>
  <c r="T2" i="11" s="1"/>
  <c r="A2" i="11"/>
  <c r="P33" i="10"/>
  <c r="O33" i="10"/>
  <c r="N33" i="10"/>
  <c r="M33" i="10"/>
  <c r="L33" i="10"/>
  <c r="AR32" i="10"/>
  <c r="AQ32" i="10"/>
  <c r="AN32" i="10"/>
  <c r="AH32" i="10"/>
  <c r="AD32" i="10"/>
  <c r="AC32" i="10"/>
  <c r="AB32" i="10"/>
  <c r="AA32" i="10"/>
  <c r="Z32" i="10"/>
  <c r="X32" i="10"/>
  <c r="AJ32" i="10" s="1"/>
  <c r="AK32" i="10" s="1"/>
  <c r="W32" i="10"/>
  <c r="V32" i="10"/>
  <c r="I32" i="10"/>
  <c r="H32" i="10"/>
  <c r="AI32" i="10" s="1"/>
  <c r="E32" i="10"/>
  <c r="Y32" i="10" s="1"/>
  <c r="AM32" i="10" s="1"/>
  <c r="AL32" i="10" s="1"/>
  <c r="A32" i="10"/>
  <c r="AS31" i="10"/>
  <c r="AR31" i="10"/>
  <c r="AJ31" i="10"/>
  <c r="AK31" i="10" s="1"/>
  <c r="AH31" i="10"/>
  <c r="AM31" i="10" s="1"/>
  <c r="AL31" i="10" s="1"/>
  <c r="AD31" i="10"/>
  <c r="AQ31" i="10" s="1"/>
  <c r="AC31" i="10"/>
  <c r="AB31" i="10"/>
  <c r="Z31" i="10"/>
  <c r="Y31" i="10"/>
  <c r="X31" i="10"/>
  <c r="W31" i="10"/>
  <c r="AA31" i="10" s="1"/>
  <c r="V31" i="10"/>
  <c r="I31" i="10"/>
  <c r="H31" i="10"/>
  <c r="E31" i="10"/>
  <c r="A31" i="10"/>
  <c r="AS30" i="10"/>
  <c r="AR30" i="10"/>
  <c r="AK30" i="10"/>
  <c r="AH30" i="10"/>
  <c r="AD30" i="10"/>
  <c r="AQ30" i="10" s="1"/>
  <c r="AC30" i="10"/>
  <c r="AB30" i="10"/>
  <c r="Z30" i="10"/>
  <c r="X30" i="10"/>
  <c r="AJ30" i="10" s="1"/>
  <c r="W30" i="10"/>
  <c r="AA30" i="10" s="1"/>
  <c r="V30" i="10"/>
  <c r="I30" i="10"/>
  <c r="H30" i="10"/>
  <c r="E30" i="10"/>
  <c r="Y30" i="10" s="1"/>
  <c r="A30" i="10"/>
  <c r="AT29" i="10"/>
  <c r="AR29" i="10"/>
  <c r="AI29" i="10"/>
  <c r="AH29" i="10"/>
  <c r="AC29" i="10"/>
  <c r="AB29" i="10"/>
  <c r="Z29" i="10"/>
  <c r="X29" i="10"/>
  <c r="AD29" i="10" s="1"/>
  <c r="AQ29" i="10" s="1"/>
  <c r="W29" i="10"/>
  <c r="V29" i="10"/>
  <c r="I29" i="10"/>
  <c r="H29" i="10"/>
  <c r="E29" i="10"/>
  <c r="Y29" i="10" s="1"/>
  <c r="A29" i="10"/>
  <c r="AR28" i="10"/>
  <c r="AI28" i="10"/>
  <c r="AH28" i="10"/>
  <c r="AM28" i="10" s="1"/>
  <c r="AD28" i="10"/>
  <c r="AQ28" i="10" s="1"/>
  <c r="AC28" i="10"/>
  <c r="AB28" i="10"/>
  <c r="Z28" i="10"/>
  <c r="X28" i="10"/>
  <c r="AJ28" i="10" s="1"/>
  <c r="AK28" i="10" s="1"/>
  <c r="W28" i="10"/>
  <c r="AA28" i="10" s="1"/>
  <c r="V28" i="10"/>
  <c r="I28" i="10"/>
  <c r="H28" i="10"/>
  <c r="E28" i="10"/>
  <c r="Y28" i="10" s="1"/>
  <c r="A28" i="10"/>
  <c r="AS27" i="10"/>
  <c r="AR27" i="10"/>
  <c r="AQ27" i="10"/>
  <c r="AM27" i="10"/>
  <c r="AH27" i="10"/>
  <c r="AC27" i="10"/>
  <c r="AB27" i="10"/>
  <c r="Z27" i="10"/>
  <c r="AD27" i="10" s="1"/>
  <c r="Y27" i="10"/>
  <c r="X27" i="10"/>
  <c r="AJ27" i="10" s="1"/>
  <c r="AK27" i="10" s="1"/>
  <c r="W27" i="10"/>
  <c r="V27" i="10"/>
  <c r="I27" i="10"/>
  <c r="H27" i="10"/>
  <c r="AI27" i="10" s="1"/>
  <c r="E27" i="10"/>
  <c r="A27" i="10"/>
  <c r="AR26" i="10"/>
  <c r="AQ26" i="10"/>
  <c r="AJ26" i="10"/>
  <c r="AK26" i="10" s="1"/>
  <c r="AH26" i="10"/>
  <c r="AC26" i="10"/>
  <c r="AB26" i="10"/>
  <c r="Z26" i="10"/>
  <c r="AD26" i="10" s="1"/>
  <c r="Y26" i="10"/>
  <c r="X26" i="10"/>
  <c r="W26" i="10"/>
  <c r="AA26" i="10" s="1"/>
  <c r="V26" i="10"/>
  <c r="I26" i="10"/>
  <c r="H26" i="10"/>
  <c r="E26" i="10"/>
  <c r="A26" i="10"/>
  <c r="AR25" i="10"/>
  <c r="AJ25" i="10"/>
  <c r="AK25" i="10" s="1"/>
  <c r="AH25" i="10"/>
  <c r="AC25" i="10"/>
  <c r="AB25" i="10"/>
  <c r="Z25" i="10"/>
  <c r="Y25" i="10"/>
  <c r="AM25" i="10" s="1"/>
  <c r="X25" i="10"/>
  <c r="W25" i="10"/>
  <c r="V25" i="10"/>
  <c r="I25" i="10"/>
  <c r="H25" i="10"/>
  <c r="AI25" i="10" s="1"/>
  <c r="E25" i="10"/>
  <c r="A25" i="10"/>
  <c r="AS24" i="10"/>
  <c r="AR24" i="10"/>
  <c r="AQ24" i="10"/>
  <c r="AI24" i="10"/>
  <c r="AH24" i="10"/>
  <c r="AM24" i="10" s="1"/>
  <c r="AC24" i="10"/>
  <c r="AB24" i="10"/>
  <c r="AA24" i="10"/>
  <c r="Z24" i="10"/>
  <c r="AD24" i="10" s="1"/>
  <c r="Y24" i="10"/>
  <c r="X24" i="10"/>
  <c r="AJ24" i="10" s="1"/>
  <c r="AK24" i="10" s="1"/>
  <c r="W24" i="10"/>
  <c r="V24" i="10"/>
  <c r="I24" i="10"/>
  <c r="H24" i="10"/>
  <c r="E24" i="10"/>
  <c r="A24" i="10"/>
  <c r="AS23" i="10"/>
  <c r="AR23" i="10"/>
  <c r="AK23" i="10"/>
  <c r="AJ23" i="10"/>
  <c r="AH23" i="10"/>
  <c r="AC23" i="10"/>
  <c r="AB23" i="10"/>
  <c r="AA23" i="10"/>
  <c r="Z23" i="10"/>
  <c r="AD23" i="10" s="1"/>
  <c r="AQ23" i="10" s="1"/>
  <c r="X23" i="10"/>
  <c r="W23" i="10"/>
  <c r="V23" i="10"/>
  <c r="I23" i="10"/>
  <c r="H23" i="10"/>
  <c r="AI23" i="10" s="1"/>
  <c r="E23" i="10"/>
  <c r="Y23" i="10" s="1"/>
  <c r="AM23" i="10" s="1"/>
  <c r="A23" i="10"/>
  <c r="AS22" i="10"/>
  <c r="AR22" i="10"/>
  <c r="AK22" i="10"/>
  <c r="AJ22" i="10"/>
  <c r="AH22" i="10"/>
  <c r="AM22" i="10" s="1"/>
  <c r="AC22" i="10"/>
  <c r="AB22" i="10"/>
  <c r="Z22" i="10"/>
  <c r="AD22" i="10" s="1"/>
  <c r="AQ22" i="10" s="1"/>
  <c r="Y22" i="10"/>
  <c r="X22" i="10"/>
  <c r="W22" i="10"/>
  <c r="AA22" i="10" s="1"/>
  <c r="V22" i="10"/>
  <c r="I22" i="10"/>
  <c r="H22" i="10"/>
  <c r="E22" i="10"/>
  <c r="A22" i="10"/>
  <c r="AS21" i="10"/>
  <c r="AR21" i="10"/>
  <c r="AQ21" i="10"/>
  <c r="AI21" i="10"/>
  <c r="AH21" i="10"/>
  <c r="AD21" i="10"/>
  <c r="AC21" i="10"/>
  <c r="AB21" i="10"/>
  <c r="Z21" i="10"/>
  <c r="X21" i="10"/>
  <c r="AJ21" i="10" s="1"/>
  <c r="AK21" i="10" s="1"/>
  <c r="W21" i="10"/>
  <c r="V21" i="10"/>
  <c r="I21" i="10"/>
  <c r="H21" i="10"/>
  <c r="AA21" i="10" s="1"/>
  <c r="E21" i="10"/>
  <c r="Y21" i="10" s="1"/>
  <c r="AM21" i="10" s="1"/>
  <c r="A21" i="10"/>
  <c r="AT20" i="10"/>
  <c r="AS20" i="10"/>
  <c r="AR20" i="10"/>
  <c r="AQ20" i="10"/>
  <c r="AK20" i="10"/>
  <c r="AH20" i="10"/>
  <c r="AD20" i="10"/>
  <c r="AC20" i="10"/>
  <c r="AB20" i="10"/>
  <c r="Z20" i="10"/>
  <c r="X20" i="10"/>
  <c r="AJ20" i="10" s="1"/>
  <c r="W20" i="10"/>
  <c r="V20" i="10"/>
  <c r="I20" i="10"/>
  <c r="H20" i="10"/>
  <c r="E20" i="10"/>
  <c r="Y20" i="10" s="1"/>
  <c r="A20" i="10"/>
  <c r="AR19" i="10"/>
  <c r="AN19" i="10"/>
  <c r="AM19" i="10"/>
  <c r="AL19" i="10" s="1"/>
  <c r="AI19" i="10"/>
  <c r="AH19" i="10"/>
  <c r="AC19" i="10"/>
  <c r="AB19" i="10"/>
  <c r="Z19" i="10"/>
  <c r="X19" i="10"/>
  <c r="AJ19" i="10" s="1"/>
  <c r="AK19" i="10" s="1"/>
  <c r="W19" i="10"/>
  <c r="V19" i="10"/>
  <c r="I19" i="10"/>
  <c r="H19" i="10"/>
  <c r="E19" i="10"/>
  <c r="Y19" i="10" s="1"/>
  <c r="A19" i="10"/>
  <c r="AT18" i="10"/>
  <c r="AR18" i="10"/>
  <c r="AI18" i="10"/>
  <c r="AH18" i="10"/>
  <c r="AD18" i="10"/>
  <c r="AQ18" i="10" s="1"/>
  <c r="AC18" i="10"/>
  <c r="AB18" i="10"/>
  <c r="Z18" i="10"/>
  <c r="X18" i="10"/>
  <c r="AJ18" i="10" s="1"/>
  <c r="AK18" i="10" s="1"/>
  <c r="W18" i="10"/>
  <c r="V18" i="10"/>
  <c r="I18" i="10"/>
  <c r="H18" i="10"/>
  <c r="E18" i="10"/>
  <c r="Y18" i="10" s="1"/>
  <c r="A18" i="10"/>
  <c r="AR17" i="10"/>
  <c r="AI17" i="10"/>
  <c r="AH17" i="10"/>
  <c r="AD17" i="10"/>
  <c r="AQ17" i="10" s="1"/>
  <c r="AC17" i="10"/>
  <c r="AB17" i="10"/>
  <c r="AA17" i="10"/>
  <c r="Z17" i="10"/>
  <c r="X17" i="10"/>
  <c r="AJ17" i="10" s="1"/>
  <c r="AK17" i="10" s="1"/>
  <c r="W17" i="10"/>
  <c r="V17" i="10"/>
  <c r="I17" i="10"/>
  <c r="H17" i="10"/>
  <c r="E17" i="10"/>
  <c r="Y17" i="10" s="1"/>
  <c r="A17" i="10"/>
  <c r="AR16" i="10"/>
  <c r="AJ16" i="10"/>
  <c r="AK16" i="10" s="1"/>
  <c r="AI16" i="10"/>
  <c r="AH16" i="10"/>
  <c r="AD16" i="10"/>
  <c r="AQ16" i="10" s="1"/>
  <c r="AC16" i="10"/>
  <c r="AB16" i="10"/>
  <c r="AA16" i="10"/>
  <c r="Z16" i="10"/>
  <c r="X16" i="10"/>
  <c r="W16" i="10"/>
  <c r="V16" i="10"/>
  <c r="I16" i="10"/>
  <c r="H16" i="10"/>
  <c r="E16" i="10"/>
  <c r="Y16" i="10" s="1"/>
  <c r="A16" i="10"/>
  <c r="AR15" i="10"/>
  <c r="AH15" i="10"/>
  <c r="AC15" i="10"/>
  <c r="AB15" i="10"/>
  <c r="Z15" i="10"/>
  <c r="Y15" i="10"/>
  <c r="X15" i="10"/>
  <c r="W15" i="10"/>
  <c r="V15" i="10"/>
  <c r="I15" i="10"/>
  <c r="H15" i="10"/>
  <c r="E15" i="10"/>
  <c r="A15" i="10"/>
  <c r="AT14" i="10"/>
  <c r="AR14" i="10"/>
  <c r="AI14" i="10"/>
  <c r="AH14" i="10"/>
  <c r="AM14" i="10" s="1"/>
  <c r="AD14" i="10"/>
  <c r="AQ14" i="10" s="1"/>
  <c r="AC14" i="10"/>
  <c r="AB14" i="10"/>
  <c r="Z14" i="10"/>
  <c r="Y14" i="10"/>
  <c r="X14" i="10"/>
  <c r="AJ14" i="10" s="1"/>
  <c r="AK14" i="10" s="1"/>
  <c r="W14" i="10"/>
  <c r="AA14" i="10" s="1"/>
  <c r="V14" i="10"/>
  <c r="I14" i="10"/>
  <c r="H14" i="10"/>
  <c r="E14" i="10"/>
  <c r="A14" i="10"/>
  <c r="AR13" i="10"/>
  <c r="AM13" i="10"/>
  <c r="AH13" i="10"/>
  <c r="AD13" i="10"/>
  <c r="AQ13" i="10" s="1"/>
  <c r="AC13" i="10"/>
  <c r="AB13" i="10"/>
  <c r="Z13" i="10"/>
  <c r="Y13" i="10"/>
  <c r="X13" i="10"/>
  <c r="AJ13" i="10" s="1"/>
  <c r="AK13" i="10" s="1"/>
  <c r="W13" i="10"/>
  <c r="V13" i="10"/>
  <c r="I13" i="10"/>
  <c r="H13" i="10"/>
  <c r="AI13" i="10" s="1"/>
  <c r="E13" i="10"/>
  <c r="A13" i="10"/>
  <c r="AS12" i="10"/>
  <c r="AR12" i="10"/>
  <c r="AJ12" i="10"/>
  <c r="AK12" i="10" s="1"/>
  <c r="AI12" i="10"/>
  <c r="AH12" i="10"/>
  <c r="AC12" i="10"/>
  <c r="AB12" i="10"/>
  <c r="Z12" i="10"/>
  <c r="X12" i="10"/>
  <c r="AA12" i="10" s="1"/>
  <c r="W12" i="10"/>
  <c r="V12" i="10"/>
  <c r="I12" i="10"/>
  <c r="H12" i="10"/>
  <c r="E12" i="10"/>
  <c r="Y12" i="10" s="1"/>
  <c r="A12" i="10"/>
  <c r="AR11" i="10"/>
  <c r="AH11" i="10"/>
  <c r="AM11" i="10" s="1"/>
  <c r="AC11" i="10"/>
  <c r="AB11" i="10"/>
  <c r="Z11" i="10"/>
  <c r="X11" i="10"/>
  <c r="AJ11" i="10" s="1"/>
  <c r="AK11" i="10" s="1"/>
  <c r="W11" i="10"/>
  <c r="AA11" i="10" s="1"/>
  <c r="V11" i="10"/>
  <c r="I11" i="10"/>
  <c r="H11" i="10"/>
  <c r="E11" i="10"/>
  <c r="Y11" i="10" s="1"/>
  <c r="A11" i="10"/>
  <c r="AR10" i="10"/>
  <c r="AI10" i="10"/>
  <c r="AH10" i="10"/>
  <c r="AC10" i="10"/>
  <c r="AB10" i="10"/>
  <c r="AA10" i="10"/>
  <c r="Z10" i="10"/>
  <c r="AD10" i="10" s="1"/>
  <c r="AQ10" i="10" s="1"/>
  <c r="X10" i="10"/>
  <c r="AJ10" i="10" s="1"/>
  <c r="AK10" i="10" s="1"/>
  <c r="W10" i="10"/>
  <c r="V10" i="10"/>
  <c r="I10" i="10"/>
  <c r="H10" i="10"/>
  <c r="E10" i="10"/>
  <c r="Y10" i="10" s="1"/>
  <c r="A10" i="10"/>
  <c r="AR9" i="10"/>
  <c r="AJ9" i="10"/>
  <c r="AK9" i="10" s="1"/>
  <c r="AI9" i="10"/>
  <c r="AH9" i="10"/>
  <c r="AC9" i="10"/>
  <c r="AB9" i="10"/>
  <c r="Z9" i="10"/>
  <c r="AD9" i="10" s="1"/>
  <c r="AQ9" i="10" s="1"/>
  <c r="Y9" i="10"/>
  <c r="X9" i="10"/>
  <c r="W9" i="10"/>
  <c r="AA9" i="10" s="1"/>
  <c r="V9" i="10"/>
  <c r="I9" i="10"/>
  <c r="H9" i="10"/>
  <c r="E9" i="10"/>
  <c r="A9" i="10"/>
  <c r="AU8" i="10"/>
  <c r="AR8" i="10"/>
  <c r="AI8" i="10"/>
  <c r="AH8" i="10"/>
  <c r="AD8" i="10"/>
  <c r="AQ8" i="10" s="1"/>
  <c r="AC8" i="10"/>
  <c r="AB8" i="10"/>
  <c r="Z8" i="10"/>
  <c r="Y8" i="10"/>
  <c r="AM8" i="10" s="1"/>
  <c r="X8" i="10"/>
  <c r="AA8" i="10" s="1"/>
  <c r="W8" i="10"/>
  <c r="V8" i="10"/>
  <c r="I8" i="10"/>
  <c r="H8" i="10"/>
  <c r="E8" i="10"/>
  <c r="A8" i="10"/>
  <c r="AR7" i="10"/>
  <c r="AM7" i="10"/>
  <c r="AJ7" i="10"/>
  <c r="AK7" i="10" s="1"/>
  <c r="AH7" i="10"/>
  <c r="AD7" i="10"/>
  <c r="AQ7" i="10" s="1"/>
  <c r="AC7" i="10"/>
  <c r="AB7" i="10"/>
  <c r="Z7" i="10"/>
  <c r="Y7" i="10"/>
  <c r="X7" i="10"/>
  <c r="W7" i="10"/>
  <c r="V7" i="10"/>
  <c r="I7" i="10"/>
  <c r="H7" i="10"/>
  <c r="E7" i="10"/>
  <c r="A7" i="10"/>
  <c r="AT6" i="10"/>
  <c r="AS6" i="10"/>
  <c r="AR6" i="10"/>
  <c r="AQ6" i="10"/>
  <c r="AH6" i="10"/>
  <c r="AD6" i="10"/>
  <c r="AC6" i="10"/>
  <c r="AB6" i="10"/>
  <c r="Z6" i="10"/>
  <c r="X6" i="10"/>
  <c r="AJ6" i="10" s="1"/>
  <c r="AK6" i="10" s="1"/>
  <c r="W6" i="10"/>
  <c r="V6" i="10"/>
  <c r="I6" i="10"/>
  <c r="H6" i="10"/>
  <c r="E6" i="10"/>
  <c r="Y6" i="10" s="1"/>
  <c r="AM6" i="10" s="1"/>
  <c r="AL6" i="10" s="1"/>
  <c r="A6" i="10"/>
  <c r="AS5" i="10"/>
  <c r="AR5" i="10"/>
  <c r="AJ5" i="10"/>
  <c r="AK5" i="10" s="1"/>
  <c r="AH5" i="10"/>
  <c r="AD5" i="10"/>
  <c r="AQ5" i="10" s="1"/>
  <c r="AC5" i="10"/>
  <c r="AB5" i="10"/>
  <c r="Z5" i="10"/>
  <c r="X5" i="10"/>
  <c r="W5" i="10"/>
  <c r="V5" i="10"/>
  <c r="I5" i="10"/>
  <c r="H5" i="10"/>
  <c r="AI5" i="10" s="1"/>
  <c r="E5" i="10"/>
  <c r="Y5" i="10" s="1"/>
  <c r="AM5" i="10" s="1"/>
  <c r="A5" i="10"/>
  <c r="AR4" i="10"/>
  <c r="AL4" i="10"/>
  <c r="AJ4" i="10"/>
  <c r="AK4" i="10" s="1"/>
  <c r="AH4" i="10"/>
  <c r="AM4" i="10" s="1"/>
  <c r="AD4" i="10"/>
  <c r="AQ4" i="10" s="1"/>
  <c r="AC4" i="10"/>
  <c r="AB4" i="10"/>
  <c r="Z4" i="10"/>
  <c r="Y4" i="10"/>
  <c r="X4" i="10"/>
  <c r="W4" i="10"/>
  <c r="AA4" i="10" s="1"/>
  <c r="V4" i="10"/>
  <c r="I4" i="10"/>
  <c r="H4" i="10"/>
  <c r="E4" i="10"/>
  <c r="A4" i="10"/>
  <c r="AR3" i="10"/>
  <c r="AP3" i="10"/>
  <c r="AO3" i="10"/>
  <c r="AN3" i="10"/>
  <c r="AJ3" i="10"/>
  <c r="AK3" i="10" s="1"/>
  <c r="AH3" i="10"/>
  <c r="AD3" i="10"/>
  <c r="AQ3" i="10" s="1"/>
  <c r="AC3" i="10"/>
  <c r="AB3" i="10"/>
  <c r="AA3" i="10"/>
  <c r="Z3" i="10"/>
  <c r="X3" i="10"/>
  <c r="W3" i="10"/>
  <c r="V3" i="10"/>
  <c r="I3" i="10"/>
  <c r="H3" i="10"/>
  <c r="AI3" i="10" s="1"/>
  <c r="E3" i="10"/>
  <c r="Y3" i="10" s="1"/>
  <c r="AM3" i="10" s="1"/>
  <c r="AL3" i="10" s="1"/>
  <c r="A3" i="10"/>
  <c r="AU2" i="10"/>
  <c r="AS2" i="10"/>
  <c r="AR2" i="10"/>
  <c r="AI2" i="10"/>
  <c r="AH2" i="10"/>
  <c r="AD2" i="10"/>
  <c r="AC2" i="10"/>
  <c r="AB2" i="10"/>
  <c r="AA2" i="10"/>
  <c r="Z2" i="10"/>
  <c r="X2" i="10"/>
  <c r="W2" i="10"/>
  <c r="V2" i="10"/>
  <c r="I2" i="10"/>
  <c r="H2" i="10"/>
  <c r="E2" i="10"/>
  <c r="Y2" i="10" s="1"/>
  <c r="A2" i="10"/>
  <c r="P33" i="9"/>
  <c r="O33" i="9"/>
  <c r="N33" i="9"/>
  <c r="M33" i="9"/>
  <c r="L33" i="9"/>
  <c r="AS31" i="9"/>
  <c r="AN31" i="9"/>
  <c r="AL31" i="9"/>
  <c r="AH31" i="9"/>
  <c r="AC31" i="9"/>
  <c r="AB31" i="9"/>
  <c r="Z31" i="9"/>
  <c r="AD31" i="9" s="1"/>
  <c r="AR31" i="9" s="1"/>
  <c r="Y31" i="9"/>
  <c r="X31" i="9"/>
  <c r="AK31" i="9" s="1"/>
  <c r="W31" i="9"/>
  <c r="V31" i="9"/>
  <c r="I31" i="9"/>
  <c r="H31" i="9"/>
  <c r="AJ31" i="9" s="1"/>
  <c r="E31" i="9"/>
  <c r="A31" i="9"/>
  <c r="AS30" i="9"/>
  <c r="AJ30" i="9"/>
  <c r="AH30" i="9"/>
  <c r="AN30" i="9" s="1"/>
  <c r="AC30" i="9"/>
  <c r="AB30" i="9"/>
  <c r="Z30" i="9"/>
  <c r="Y30" i="9"/>
  <c r="X30" i="9"/>
  <c r="AD30" i="9" s="1"/>
  <c r="AR30" i="9" s="1"/>
  <c r="W30" i="9"/>
  <c r="V30" i="9"/>
  <c r="I30" i="9"/>
  <c r="H30" i="9"/>
  <c r="E30" i="9"/>
  <c r="A30" i="9"/>
  <c r="AS29" i="9"/>
  <c r="AH29" i="9"/>
  <c r="AN29" i="9" s="1"/>
  <c r="AD29" i="9"/>
  <c r="AR29" i="9" s="1"/>
  <c r="AC29" i="9"/>
  <c r="AB29" i="9"/>
  <c r="Z29" i="9"/>
  <c r="Y29" i="9"/>
  <c r="X29" i="9"/>
  <c r="AK29" i="9" s="1"/>
  <c r="AL29" i="9" s="1"/>
  <c r="W29" i="9"/>
  <c r="V29" i="9"/>
  <c r="I29" i="9"/>
  <c r="H29" i="9"/>
  <c r="AJ29" i="9" s="1"/>
  <c r="E29" i="9"/>
  <c r="A29" i="9"/>
  <c r="AS28" i="9"/>
  <c r="AJ28" i="9"/>
  <c r="AH28" i="9"/>
  <c r="AC28" i="9"/>
  <c r="AB28" i="9"/>
  <c r="Z28" i="9"/>
  <c r="Y28" i="9"/>
  <c r="AN28" i="9" s="1"/>
  <c r="X28" i="9"/>
  <c r="AK28" i="9" s="1"/>
  <c r="AL28" i="9" s="1"/>
  <c r="W28" i="9"/>
  <c r="V28" i="9"/>
  <c r="I28" i="9"/>
  <c r="H28" i="9"/>
  <c r="E28" i="9"/>
  <c r="A28" i="9"/>
  <c r="AS27" i="9"/>
  <c r="AJ27" i="9"/>
  <c r="AH27" i="9"/>
  <c r="AN27" i="9" s="1"/>
  <c r="AC27" i="9"/>
  <c r="AB27" i="9"/>
  <c r="Z27" i="9"/>
  <c r="Y27" i="9"/>
  <c r="X27" i="9"/>
  <c r="AD27" i="9" s="1"/>
  <c r="AR27" i="9" s="1"/>
  <c r="W27" i="9"/>
  <c r="AA27" i="9" s="1"/>
  <c r="V27" i="9"/>
  <c r="I27" i="9"/>
  <c r="H27" i="9"/>
  <c r="E27" i="9"/>
  <c r="A27" i="9"/>
  <c r="AS26" i="9"/>
  <c r="AN26" i="9"/>
  <c r="AH26" i="9"/>
  <c r="AC26" i="9"/>
  <c r="AB26" i="9"/>
  <c r="Z26" i="9"/>
  <c r="AD26" i="9" s="1"/>
  <c r="AR26" i="9" s="1"/>
  <c r="Y26" i="9"/>
  <c r="X26" i="9"/>
  <c r="AK26" i="9" s="1"/>
  <c r="AL26" i="9" s="1"/>
  <c r="W26" i="9"/>
  <c r="V26" i="9"/>
  <c r="I26" i="9"/>
  <c r="H26" i="9"/>
  <c r="AJ26" i="9" s="1"/>
  <c r="E26" i="9"/>
  <c r="A26" i="9"/>
  <c r="AS25" i="9"/>
  <c r="AK25" i="9"/>
  <c r="AL25" i="9" s="1"/>
  <c r="AJ25" i="9"/>
  <c r="AH25" i="9"/>
  <c r="AC25" i="9"/>
  <c r="AB25" i="9"/>
  <c r="Z25" i="9"/>
  <c r="AD25" i="9" s="1"/>
  <c r="AR25" i="9" s="1"/>
  <c r="Y25" i="9"/>
  <c r="AN25" i="9" s="1"/>
  <c r="X25" i="9"/>
  <c r="W25" i="9"/>
  <c r="AA25" i="9" s="1"/>
  <c r="V25" i="9"/>
  <c r="I25" i="9"/>
  <c r="H25" i="9"/>
  <c r="E25" i="9"/>
  <c r="A25" i="9"/>
  <c r="AS24" i="9"/>
  <c r="AH24" i="9"/>
  <c r="AN24" i="9" s="1"/>
  <c r="AD24" i="9"/>
  <c r="AR24" i="9" s="1"/>
  <c r="AC24" i="9"/>
  <c r="AB24" i="9"/>
  <c r="Z24" i="9"/>
  <c r="Y24" i="9"/>
  <c r="X24" i="9"/>
  <c r="AK24" i="9" s="1"/>
  <c r="AL24" i="9" s="1"/>
  <c r="W24" i="9"/>
  <c r="V24" i="9"/>
  <c r="I24" i="9"/>
  <c r="H24" i="9"/>
  <c r="AJ24" i="9" s="1"/>
  <c r="E24" i="9"/>
  <c r="A24" i="9"/>
  <c r="AS23" i="9"/>
  <c r="AN23" i="9"/>
  <c r="AL23" i="9"/>
  <c r="AH23" i="9"/>
  <c r="AC23" i="9"/>
  <c r="AB23" i="9"/>
  <c r="Z23" i="9"/>
  <c r="AD23" i="9" s="1"/>
  <c r="AR23" i="9" s="1"/>
  <c r="Y23" i="9"/>
  <c r="X23" i="9"/>
  <c r="AK23" i="9" s="1"/>
  <c r="W23" i="9"/>
  <c r="V23" i="9"/>
  <c r="I23" i="9"/>
  <c r="H23" i="9"/>
  <c r="AJ23" i="9" s="1"/>
  <c r="E23" i="9"/>
  <c r="A23" i="9"/>
  <c r="AS22" i="9"/>
  <c r="AK22" i="9"/>
  <c r="AL22" i="9" s="1"/>
  <c r="AJ22" i="9"/>
  <c r="AH22" i="9"/>
  <c r="AN22" i="9" s="1"/>
  <c r="AC22" i="9"/>
  <c r="AB22" i="9"/>
  <c r="Z22" i="9"/>
  <c r="Y22" i="9"/>
  <c r="X22" i="9"/>
  <c r="AD22" i="9" s="1"/>
  <c r="AR22" i="9" s="1"/>
  <c r="W22" i="9"/>
  <c r="AA22" i="9" s="1"/>
  <c r="V22" i="9"/>
  <c r="I22" i="9"/>
  <c r="H22" i="9"/>
  <c r="E22" i="9"/>
  <c r="A22" i="9"/>
  <c r="AS21" i="9"/>
  <c r="AH21" i="9"/>
  <c r="AN21" i="9" s="1"/>
  <c r="AD21" i="9"/>
  <c r="AR21" i="9" s="1"/>
  <c r="AC21" i="9"/>
  <c r="AB21" i="9"/>
  <c r="Z21" i="9"/>
  <c r="Y21" i="9"/>
  <c r="X21" i="9"/>
  <c r="AK21" i="9" s="1"/>
  <c r="AL21" i="9" s="1"/>
  <c r="W21" i="9"/>
  <c r="V21" i="9"/>
  <c r="I21" i="9"/>
  <c r="H21" i="9"/>
  <c r="E21" i="9"/>
  <c r="A21" i="9"/>
  <c r="AS20" i="9"/>
  <c r="AK20" i="9"/>
  <c r="AL20" i="9" s="1"/>
  <c r="AJ20" i="9"/>
  <c r="AH20" i="9"/>
  <c r="AC20" i="9"/>
  <c r="AB20" i="9"/>
  <c r="Z20" i="9"/>
  <c r="AD20" i="9" s="1"/>
  <c r="AR20" i="9" s="1"/>
  <c r="Y20" i="9"/>
  <c r="AN20" i="9" s="1"/>
  <c r="X20" i="9"/>
  <c r="W20" i="9"/>
  <c r="V20" i="9"/>
  <c r="I20" i="9"/>
  <c r="H20" i="9"/>
  <c r="E20" i="9"/>
  <c r="A20" i="9"/>
  <c r="AS19" i="9"/>
  <c r="AJ19" i="9"/>
  <c r="AH19" i="9"/>
  <c r="AN19" i="9" s="1"/>
  <c r="AC19" i="9"/>
  <c r="AB19" i="9"/>
  <c r="Z19" i="9"/>
  <c r="Y19" i="9"/>
  <c r="X19" i="9"/>
  <c r="W19" i="9"/>
  <c r="V19" i="9"/>
  <c r="I19" i="9"/>
  <c r="H19" i="9"/>
  <c r="E19" i="9"/>
  <c r="A19" i="9"/>
  <c r="AS18" i="9"/>
  <c r="AR18" i="9"/>
  <c r="AN18" i="9"/>
  <c r="AH18" i="9"/>
  <c r="AC18" i="9"/>
  <c r="AB18" i="9"/>
  <c r="Z18" i="9"/>
  <c r="AD18" i="9" s="1"/>
  <c r="Y18" i="9"/>
  <c r="X18" i="9"/>
  <c r="AK18" i="9" s="1"/>
  <c r="AL18" i="9" s="1"/>
  <c r="W18" i="9"/>
  <c r="V18" i="9"/>
  <c r="I18" i="9"/>
  <c r="H18" i="9"/>
  <c r="AJ18" i="9" s="1"/>
  <c r="E18" i="9"/>
  <c r="A18" i="9"/>
  <c r="AS17" i="9"/>
  <c r="AJ17" i="9"/>
  <c r="AH17" i="9"/>
  <c r="AC17" i="9"/>
  <c r="AB17" i="9"/>
  <c r="Z17" i="9"/>
  <c r="Y17" i="9"/>
  <c r="AN17" i="9" s="1"/>
  <c r="X17" i="9"/>
  <c r="AK17" i="9" s="1"/>
  <c r="AL17" i="9" s="1"/>
  <c r="W17" i="9"/>
  <c r="V17" i="9"/>
  <c r="I17" i="9"/>
  <c r="H17" i="9"/>
  <c r="E17" i="9"/>
  <c r="A17" i="9"/>
  <c r="AS16" i="9"/>
  <c r="AH16" i="9"/>
  <c r="AN16" i="9" s="1"/>
  <c r="AD16" i="9"/>
  <c r="AR16" i="9" s="1"/>
  <c r="AC16" i="9"/>
  <c r="AB16" i="9"/>
  <c r="Z16" i="9"/>
  <c r="Y16" i="9"/>
  <c r="X16" i="9"/>
  <c r="AK16" i="9" s="1"/>
  <c r="AL16" i="9" s="1"/>
  <c r="W16" i="9"/>
  <c r="V16" i="9"/>
  <c r="I16" i="9"/>
  <c r="H16" i="9"/>
  <c r="AJ16" i="9" s="1"/>
  <c r="E16" i="9"/>
  <c r="A16" i="9"/>
  <c r="AS15" i="9"/>
  <c r="AP15" i="9"/>
  <c r="AO15" i="9"/>
  <c r="AQ15" i="9" s="1"/>
  <c r="AN15" i="9"/>
  <c r="AM15" i="9" s="1"/>
  <c r="AH15" i="9"/>
  <c r="AD15" i="9"/>
  <c r="AR15" i="9" s="1"/>
  <c r="AC15" i="9"/>
  <c r="AB15" i="9"/>
  <c r="Z15" i="9"/>
  <c r="Y15" i="9"/>
  <c r="X15" i="9"/>
  <c r="AK15" i="9" s="1"/>
  <c r="AL15" i="9" s="1"/>
  <c r="W15" i="9"/>
  <c r="V15" i="9"/>
  <c r="I15" i="9"/>
  <c r="H15" i="9"/>
  <c r="AJ15" i="9" s="1"/>
  <c r="E15" i="9"/>
  <c r="A15" i="9"/>
  <c r="AS14" i="9"/>
  <c r="AJ14" i="9"/>
  <c r="AH14" i="9"/>
  <c r="AC14" i="9"/>
  <c r="AB14" i="9"/>
  <c r="Z14" i="9"/>
  <c r="Y14" i="9"/>
  <c r="AN14" i="9" s="1"/>
  <c r="X14" i="9"/>
  <c r="AK14" i="9" s="1"/>
  <c r="AL14" i="9" s="1"/>
  <c r="W14" i="9"/>
  <c r="V14" i="9"/>
  <c r="I14" i="9"/>
  <c r="H14" i="9"/>
  <c r="E14" i="9"/>
  <c r="A14" i="9"/>
  <c r="AS13" i="9"/>
  <c r="AR13" i="9"/>
  <c r="AJ13" i="9"/>
  <c r="AH13" i="9"/>
  <c r="AC13" i="9"/>
  <c r="AB13" i="9"/>
  <c r="Z13" i="9"/>
  <c r="Y13" i="9"/>
  <c r="X13" i="9"/>
  <c r="AD13" i="9" s="1"/>
  <c r="W13" i="9"/>
  <c r="V13" i="9"/>
  <c r="I13" i="9"/>
  <c r="H13" i="9"/>
  <c r="E13" i="9"/>
  <c r="A13" i="9"/>
  <c r="AS12" i="9"/>
  <c r="AH12" i="9"/>
  <c r="AN12" i="9" s="1"/>
  <c r="AD12" i="9"/>
  <c r="AR12" i="9" s="1"/>
  <c r="AC12" i="9"/>
  <c r="AB12" i="9"/>
  <c r="Z12" i="9"/>
  <c r="Y12" i="9"/>
  <c r="X12" i="9"/>
  <c r="AK12" i="9" s="1"/>
  <c r="AL12" i="9" s="1"/>
  <c r="W12" i="9"/>
  <c r="V12" i="9"/>
  <c r="V33" i="9" s="1"/>
  <c r="I12" i="9"/>
  <c r="H12" i="9"/>
  <c r="E12" i="9"/>
  <c r="A12" i="9"/>
  <c r="AS11" i="9"/>
  <c r="AO11" i="9"/>
  <c r="AN11" i="9"/>
  <c r="AM11" i="9" s="1"/>
  <c r="AH11" i="9"/>
  <c r="AD11" i="9"/>
  <c r="AR11" i="9" s="1"/>
  <c r="AC11" i="9"/>
  <c r="AB11" i="9"/>
  <c r="Z11" i="9"/>
  <c r="Y11" i="9"/>
  <c r="X11" i="9"/>
  <c r="AK11" i="9" s="1"/>
  <c r="AL11" i="9" s="1"/>
  <c r="W11" i="9"/>
  <c r="V11" i="9"/>
  <c r="I11" i="9"/>
  <c r="H11" i="9"/>
  <c r="AJ11" i="9" s="1"/>
  <c r="E11" i="9"/>
  <c r="A11" i="9"/>
  <c r="AS10" i="9"/>
  <c r="AO10" i="9"/>
  <c r="AK10" i="9"/>
  <c r="AL10" i="9" s="1"/>
  <c r="AJ10" i="9"/>
  <c r="AH10" i="9"/>
  <c r="AC10" i="9"/>
  <c r="AB10" i="9"/>
  <c r="Z10" i="9"/>
  <c r="AD10" i="9" s="1"/>
  <c r="AR10" i="9" s="1"/>
  <c r="Y10" i="9"/>
  <c r="AN10" i="9" s="1"/>
  <c r="AM10" i="9" s="1"/>
  <c r="X10" i="9"/>
  <c r="W10" i="9"/>
  <c r="V10" i="9"/>
  <c r="I10" i="9"/>
  <c r="H10" i="9"/>
  <c r="E10" i="9"/>
  <c r="A10" i="9"/>
  <c r="AM9" i="9"/>
  <c r="A9" i="9"/>
  <c r="AS8" i="9"/>
  <c r="AL8" i="9"/>
  <c r="AK8" i="9"/>
  <c r="AH8" i="9"/>
  <c r="AC8" i="9"/>
  <c r="AB8" i="9"/>
  <c r="AA8" i="9"/>
  <c r="Z8" i="9"/>
  <c r="AD8" i="9" s="1"/>
  <c r="AR8" i="9" s="1"/>
  <c r="X8" i="9"/>
  <c r="W8" i="9"/>
  <c r="V8" i="9"/>
  <c r="I8" i="9"/>
  <c r="H8" i="9"/>
  <c r="AJ8" i="9" s="1"/>
  <c r="E8" i="9"/>
  <c r="Y8" i="9" s="1"/>
  <c r="AN8" i="9" s="1"/>
  <c r="A8" i="9"/>
  <c r="AS7" i="9"/>
  <c r="AJ7" i="9"/>
  <c r="AH7" i="9"/>
  <c r="AC7" i="9"/>
  <c r="AB7" i="9"/>
  <c r="Z7" i="9"/>
  <c r="X7" i="9"/>
  <c r="AA7" i="9" s="1"/>
  <c r="W7" i="9"/>
  <c r="V7" i="9"/>
  <c r="I7" i="9"/>
  <c r="H7" i="9"/>
  <c r="E7" i="9"/>
  <c r="Y7" i="9" s="1"/>
  <c r="A7" i="9"/>
  <c r="AS6" i="9"/>
  <c r="AJ6" i="9"/>
  <c r="AH6" i="9"/>
  <c r="AC6" i="9"/>
  <c r="AB6" i="9"/>
  <c r="Z6" i="9"/>
  <c r="Y6" i="9"/>
  <c r="X6" i="9"/>
  <c r="AK6" i="9" s="1"/>
  <c r="AL6" i="9" s="1"/>
  <c r="W6" i="9"/>
  <c r="V6" i="9"/>
  <c r="I6" i="9"/>
  <c r="H6" i="9"/>
  <c r="E6" i="9"/>
  <c r="A6" i="9"/>
  <c r="AS5" i="9"/>
  <c r="AL5" i="9"/>
  <c r="AH5" i="9"/>
  <c r="AC5" i="9"/>
  <c r="AB5" i="9"/>
  <c r="Z5" i="9"/>
  <c r="Y5" i="9"/>
  <c r="X5" i="9"/>
  <c r="AK5" i="9" s="1"/>
  <c r="W5" i="9"/>
  <c r="V5" i="9"/>
  <c r="I5" i="9"/>
  <c r="H5" i="9"/>
  <c r="E5" i="9"/>
  <c r="A5" i="9"/>
  <c r="AS4" i="9"/>
  <c r="AK4" i="9"/>
  <c r="AL4" i="9" s="1"/>
  <c r="AH4" i="9"/>
  <c r="AC4" i="9"/>
  <c r="AB4" i="9"/>
  <c r="Z4" i="9"/>
  <c r="AD4" i="9" s="1"/>
  <c r="AR4" i="9" s="1"/>
  <c r="Y4" i="9"/>
  <c r="X4" i="9"/>
  <c r="W4" i="9"/>
  <c r="AA4" i="9" s="1"/>
  <c r="V4" i="9"/>
  <c r="I4" i="9"/>
  <c r="H4" i="9"/>
  <c r="E4" i="9"/>
  <c r="A4" i="9"/>
  <c r="AS3" i="9"/>
  <c r="AK3" i="9"/>
  <c r="AL3" i="9" s="1"/>
  <c r="AJ3" i="9"/>
  <c r="AH3" i="9"/>
  <c r="AN3" i="9" s="1"/>
  <c r="AC3" i="9"/>
  <c r="AB3" i="9"/>
  <c r="Z3" i="9"/>
  <c r="AD3" i="9" s="1"/>
  <c r="AR3" i="9" s="1"/>
  <c r="Y3" i="9"/>
  <c r="X3" i="9"/>
  <c r="W3" i="9"/>
  <c r="AA3" i="9" s="1"/>
  <c r="V3" i="9"/>
  <c r="I3" i="9"/>
  <c r="H3" i="9"/>
  <c r="E3" i="9"/>
  <c r="A3" i="9"/>
  <c r="AS2" i="9"/>
  <c r="AK2" i="9"/>
  <c r="AL2" i="9" s="1"/>
  <c r="AH2" i="9"/>
  <c r="AC2" i="9"/>
  <c r="AB2" i="9"/>
  <c r="Z2" i="9"/>
  <c r="AD2" i="9" s="1"/>
  <c r="Y2" i="9"/>
  <c r="AN2" i="9" s="1"/>
  <c r="X2" i="9"/>
  <c r="W2" i="9"/>
  <c r="V2" i="9"/>
  <c r="I2" i="9"/>
  <c r="H2" i="9"/>
  <c r="AJ2" i="9" s="1"/>
  <c r="E2" i="9"/>
  <c r="A2" i="9"/>
  <c r="W33" i="8"/>
  <c r="P33" i="8"/>
  <c r="O33" i="8"/>
  <c r="N33" i="8"/>
  <c r="M33" i="8"/>
  <c r="L33" i="8"/>
  <c r="AR32" i="8"/>
  <c r="AI32" i="8"/>
  <c r="AH32" i="8"/>
  <c r="AC32" i="8"/>
  <c r="AB32" i="8"/>
  <c r="AA32" i="8"/>
  <c r="Z32" i="8"/>
  <c r="X32" i="8"/>
  <c r="AJ32" i="8" s="1"/>
  <c r="AK32" i="8" s="1"/>
  <c r="W32" i="8"/>
  <c r="V32" i="8"/>
  <c r="I32" i="8"/>
  <c r="H32" i="8"/>
  <c r="E32" i="8"/>
  <c r="Y32" i="8" s="1"/>
  <c r="A32" i="8"/>
  <c r="AR31" i="8"/>
  <c r="AI31" i="8"/>
  <c r="AH31" i="8"/>
  <c r="AC31" i="8"/>
  <c r="AB31" i="8"/>
  <c r="Z31" i="8"/>
  <c r="AD31" i="8" s="1"/>
  <c r="AQ31" i="8" s="1"/>
  <c r="Y31" i="8"/>
  <c r="X31" i="8"/>
  <c r="AA31" i="8" s="1"/>
  <c r="W31" i="8"/>
  <c r="V31" i="8"/>
  <c r="I31" i="8"/>
  <c r="H31" i="8"/>
  <c r="E31" i="8"/>
  <c r="A31" i="8"/>
  <c r="AR30" i="8"/>
  <c r="AN30" i="8"/>
  <c r="AI30" i="8"/>
  <c r="AH30" i="8"/>
  <c r="AM30" i="8" s="1"/>
  <c r="AL30" i="8" s="1"/>
  <c r="AC30" i="8"/>
  <c r="AB30" i="8"/>
  <c r="AA30" i="8"/>
  <c r="Z30" i="8"/>
  <c r="X30" i="8"/>
  <c r="AJ30" i="8" s="1"/>
  <c r="AK30" i="8" s="1"/>
  <c r="W30" i="8"/>
  <c r="V30" i="8"/>
  <c r="I30" i="8"/>
  <c r="H30" i="8"/>
  <c r="E30" i="8"/>
  <c r="Y30" i="8" s="1"/>
  <c r="A30" i="8"/>
  <c r="AS29" i="8"/>
  <c r="AR29" i="8"/>
  <c r="AM29" i="8"/>
  <c r="AJ29" i="8"/>
  <c r="AK29" i="8" s="1"/>
  <c r="AH29" i="8"/>
  <c r="AC29" i="8"/>
  <c r="AB29" i="8"/>
  <c r="AA29" i="8"/>
  <c r="Z29" i="8"/>
  <c r="AD29" i="8" s="1"/>
  <c r="AQ29" i="8" s="1"/>
  <c r="X29" i="8"/>
  <c r="W29" i="8"/>
  <c r="V29" i="8"/>
  <c r="I29" i="8"/>
  <c r="H29" i="8"/>
  <c r="AI29" i="8" s="1"/>
  <c r="E29" i="8"/>
  <c r="Y29" i="8" s="1"/>
  <c r="A29" i="8"/>
  <c r="AT28" i="8"/>
  <c r="AR28" i="8"/>
  <c r="AK28" i="8"/>
  <c r="AJ28" i="8"/>
  <c r="AH28" i="8"/>
  <c r="AM28" i="8" s="1"/>
  <c r="AC28" i="8"/>
  <c r="AB28" i="8"/>
  <c r="Z28" i="8"/>
  <c r="AD28" i="8" s="1"/>
  <c r="AQ28" i="8" s="1"/>
  <c r="X28" i="8"/>
  <c r="W28" i="8"/>
  <c r="V28" i="8"/>
  <c r="I28" i="8"/>
  <c r="H28" i="8"/>
  <c r="AI28" i="8" s="1"/>
  <c r="E28" i="8"/>
  <c r="Y28" i="8" s="1"/>
  <c r="A28" i="8"/>
  <c r="AR27" i="8"/>
  <c r="AM27" i="8"/>
  <c r="AK27" i="8"/>
  <c r="AJ27" i="8"/>
  <c r="AH27" i="8"/>
  <c r="AC27" i="8"/>
  <c r="AB27" i="8"/>
  <c r="AA27" i="8"/>
  <c r="Z27" i="8"/>
  <c r="AD27" i="8" s="1"/>
  <c r="AQ27" i="8" s="1"/>
  <c r="X27" i="8"/>
  <c r="W27" i="8"/>
  <c r="V27" i="8"/>
  <c r="I27" i="8"/>
  <c r="H27" i="8"/>
  <c r="E27" i="8"/>
  <c r="Y27" i="8" s="1"/>
  <c r="A27" i="8"/>
  <c r="AT26" i="8"/>
  <c r="AR26" i="8"/>
  <c r="AL26" i="8"/>
  <c r="AI26" i="8"/>
  <c r="AH26" i="8"/>
  <c r="AC26" i="8"/>
  <c r="AB26" i="8"/>
  <c r="Z26" i="8"/>
  <c r="X26" i="8"/>
  <c r="AJ26" i="8" s="1"/>
  <c r="AK26" i="8" s="1"/>
  <c r="W26" i="8"/>
  <c r="V26" i="8"/>
  <c r="I26" i="8"/>
  <c r="H26" i="8"/>
  <c r="E26" i="8"/>
  <c r="Y26" i="8" s="1"/>
  <c r="AM26" i="8" s="1"/>
  <c r="AN26" i="8" s="1"/>
  <c r="A26" i="8"/>
  <c r="AT25" i="8"/>
  <c r="AR25" i="8"/>
  <c r="AJ25" i="8"/>
  <c r="AK25" i="8" s="1"/>
  <c r="AH25" i="8"/>
  <c r="AM25" i="8" s="1"/>
  <c r="AD25" i="8"/>
  <c r="AQ25" i="8" s="1"/>
  <c r="AC25" i="8"/>
  <c r="AB25" i="8"/>
  <c r="Z25" i="8"/>
  <c r="Y25" i="8"/>
  <c r="X25" i="8"/>
  <c r="W25" i="8"/>
  <c r="AA25" i="8" s="1"/>
  <c r="V25" i="8"/>
  <c r="I25" i="8"/>
  <c r="H25" i="8"/>
  <c r="E25" i="8"/>
  <c r="A25" i="8"/>
  <c r="AS24" i="8"/>
  <c r="AR24" i="8"/>
  <c r="AP24" i="8"/>
  <c r="AN24" i="8"/>
  <c r="AO24" i="8" s="1"/>
  <c r="AH24" i="8"/>
  <c r="AC24" i="8"/>
  <c r="AB24" i="8"/>
  <c r="Z24" i="8"/>
  <c r="AD24" i="8" s="1"/>
  <c r="AQ24" i="8" s="1"/>
  <c r="X24" i="8"/>
  <c r="AJ24" i="8" s="1"/>
  <c r="AK24" i="8" s="1"/>
  <c r="W24" i="8"/>
  <c r="V24" i="8"/>
  <c r="I24" i="8"/>
  <c r="H24" i="8"/>
  <c r="AI24" i="8" s="1"/>
  <c r="E24" i="8"/>
  <c r="Y24" i="8" s="1"/>
  <c r="AM24" i="8" s="1"/>
  <c r="AL24" i="8" s="1"/>
  <c r="A24" i="8"/>
  <c r="AR23" i="8"/>
  <c r="AM23" i="8"/>
  <c r="AH23" i="8"/>
  <c r="AI23" i="8" s="1"/>
  <c r="AC23" i="8"/>
  <c r="AB23" i="8"/>
  <c r="Z23" i="8"/>
  <c r="X23" i="8"/>
  <c r="W23" i="8"/>
  <c r="V23" i="8"/>
  <c r="I23" i="8"/>
  <c r="H23" i="8"/>
  <c r="E23" i="8"/>
  <c r="Y23" i="8" s="1"/>
  <c r="A23" i="8"/>
  <c r="AR22" i="8"/>
  <c r="AQ22" i="8"/>
  <c r="AP22" i="8"/>
  <c r="AN22" i="8"/>
  <c r="AO22" i="8" s="1"/>
  <c r="AH22" i="8"/>
  <c r="AD22" i="8"/>
  <c r="AC22" i="8"/>
  <c r="AB22" i="8"/>
  <c r="Z22" i="8"/>
  <c r="X22" i="8"/>
  <c r="AJ22" i="8" s="1"/>
  <c r="AK22" i="8" s="1"/>
  <c r="W22" i="8"/>
  <c r="V22" i="8"/>
  <c r="I22" i="8"/>
  <c r="H22" i="8"/>
  <c r="AI22" i="8" s="1"/>
  <c r="E22" i="8"/>
  <c r="Y22" i="8" s="1"/>
  <c r="AM22" i="8" s="1"/>
  <c r="AL22" i="8" s="1"/>
  <c r="A22" i="8"/>
  <c r="AT21" i="8"/>
  <c r="AR21" i="8"/>
  <c r="AI21" i="8"/>
  <c r="AH21" i="8"/>
  <c r="AC21" i="8"/>
  <c r="AB21" i="8"/>
  <c r="Z21" i="8"/>
  <c r="X21" i="8"/>
  <c r="W21" i="8"/>
  <c r="V21" i="8"/>
  <c r="I21" i="8"/>
  <c r="H21" i="8"/>
  <c r="E21" i="8"/>
  <c r="Y21" i="8" s="1"/>
  <c r="A21" i="8"/>
  <c r="AT20" i="8"/>
  <c r="AR20" i="8"/>
  <c r="AJ20" i="8"/>
  <c r="AK20" i="8" s="1"/>
  <c r="AH20" i="8"/>
  <c r="AC20" i="8"/>
  <c r="AB20" i="8"/>
  <c r="Z20" i="8"/>
  <c r="Y20" i="8"/>
  <c r="X20" i="8"/>
  <c r="AD20" i="8" s="1"/>
  <c r="AQ20" i="8" s="1"/>
  <c r="W20" i="8"/>
  <c r="V20" i="8"/>
  <c r="I20" i="8"/>
  <c r="H20" i="8"/>
  <c r="E20" i="8"/>
  <c r="A20" i="8"/>
  <c r="AT19" i="8"/>
  <c r="AS19" i="8"/>
  <c r="AR19" i="8"/>
  <c r="AI19" i="8"/>
  <c r="AH19" i="8"/>
  <c r="AC19" i="8"/>
  <c r="AB19" i="8"/>
  <c r="Z19" i="8"/>
  <c r="Y19" i="8"/>
  <c r="AM19" i="8" s="1"/>
  <c r="X19" i="8"/>
  <c r="AA19" i="8" s="1"/>
  <c r="W19" i="8"/>
  <c r="V19" i="8"/>
  <c r="I19" i="8"/>
  <c r="H19" i="8"/>
  <c r="E19" i="8"/>
  <c r="A19" i="8"/>
  <c r="AR18" i="8"/>
  <c r="AM18" i="8"/>
  <c r="AJ18" i="8"/>
  <c r="AK18" i="8" s="1"/>
  <c r="AH18" i="8"/>
  <c r="AD18" i="8"/>
  <c r="AQ18" i="8" s="1"/>
  <c r="AC18" i="8"/>
  <c r="AB18" i="8"/>
  <c r="Z18" i="8"/>
  <c r="Y18" i="8"/>
  <c r="X18" i="8"/>
  <c r="W18" i="8"/>
  <c r="V18" i="8"/>
  <c r="I18" i="8"/>
  <c r="H18" i="8"/>
  <c r="E18" i="8"/>
  <c r="A18" i="8"/>
  <c r="AS17" i="8"/>
  <c r="AR17" i="8"/>
  <c r="AK17" i="8"/>
  <c r="AJ17" i="8"/>
  <c r="AH17" i="8"/>
  <c r="AM17" i="8" s="1"/>
  <c r="AN17" i="8" s="1"/>
  <c r="AC17" i="8"/>
  <c r="AB17" i="8"/>
  <c r="AA17" i="8"/>
  <c r="Z17" i="8"/>
  <c r="AD17" i="8" s="1"/>
  <c r="AQ17" i="8" s="1"/>
  <c r="Y17" i="8"/>
  <c r="X17" i="8"/>
  <c r="W17" i="8"/>
  <c r="V17" i="8"/>
  <c r="I17" i="8"/>
  <c r="H17" i="8"/>
  <c r="AI17" i="8" s="1"/>
  <c r="E17" i="8"/>
  <c r="A17" i="8"/>
  <c r="AS16" i="8"/>
  <c r="AR16" i="8"/>
  <c r="AM16" i="8"/>
  <c r="AN16" i="8" s="1"/>
  <c r="AL16" i="8"/>
  <c r="AI16" i="8"/>
  <c r="AH16" i="8"/>
  <c r="AC16" i="8"/>
  <c r="AB16" i="8"/>
  <c r="AA16" i="8"/>
  <c r="Z16" i="8"/>
  <c r="AD16" i="8" s="1"/>
  <c r="AQ16" i="8" s="1"/>
  <c r="X16" i="8"/>
  <c r="AJ16" i="8" s="1"/>
  <c r="AK16" i="8" s="1"/>
  <c r="W16" i="8"/>
  <c r="V16" i="8"/>
  <c r="I16" i="8"/>
  <c r="H16" i="8"/>
  <c r="E16" i="8"/>
  <c r="Y16" i="8" s="1"/>
  <c r="A16" i="8"/>
  <c r="AR15" i="8"/>
  <c r="AI15" i="8"/>
  <c r="AH15" i="8"/>
  <c r="AC15" i="8"/>
  <c r="AB15" i="8"/>
  <c r="Z15" i="8"/>
  <c r="AD15" i="8" s="1"/>
  <c r="AQ15" i="8" s="1"/>
  <c r="X15" i="8"/>
  <c r="AJ15" i="8" s="1"/>
  <c r="AK15" i="8" s="1"/>
  <c r="W15" i="8"/>
  <c r="V15" i="8"/>
  <c r="I15" i="8"/>
  <c r="H15" i="8"/>
  <c r="AA15" i="8" s="1"/>
  <c r="E15" i="8"/>
  <c r="Y15" i="8" s="1"/>
  <c r="AM15" i="8" s="1"/>
  <c r="A15" i="8"/>
  <c r="AR14" i="8"/>
  <c r="AO14" i="8"/>
  <c r="AN14" i="8"/>
  <c r="AP14" i="8" s="1"/>
  <c r="AL14" i="8"/>
  <c r="AH14" i="8"/>
  <c r="AC14" i="8"/>
  <c r="AB14" i="8"/>
  <c r="Z14" i="8"/>
  <c r="AD14" i="8" s="1"/>
  <c r="AQ14" i="8" s="1"/>
  <c r="X14" i="8"/>
  <c r="AJ14" i="8" s="1"/>
  <c r="AK14" i="8" s="1"/>
  <c r="W14" i="8"/>
  <c r="V14" i="8"/>
  <c r="I14" i="8"/>
  <c r="H14" i="8"/>
  <c r="E14" i="8"/>
  <c r="Y14" i="8" s="1"/>
  <c r="AM14" i="8" s="1"/>
  <c r="A14" i="8"/>
  <c r="AT13" i="8"/>
  <c r="AR13" i="8"/>
  <c r="AJ13" i="8"/>
  <c r="AK13" i="8" s="1"/>
  <c r="AH13" i="8"/>
  <c r="AM13" i="8" s="1"/>
  <c r="AD13" i="8"/>
  <c r="AQ13" i="8" s="1"/>
  <c r="AC13" i="8"/>
  <c r="AB13" i="8"/>
  <c r="Z13" i="8"/>
  <c r="Y13" i="8"/>
  <c r="X13" i="8"/>
  <c r="W13" i="8"/>
  <c r="AA13" i="8" s="1"/>
  <c r="V13" i="8"/>
  <c r="I13" i="8"/>
  <c r="H13" i="8"/>
  <c r="E13" i="8"/>
  <c r="A13" i="8"/>
  <c r="AT12" i="8"/>
  <c r="AR12" i="8"/>
  <c r="AQ12" i="8"/>
  <c r="AK12" i="8"/>
  <c r="AH12" i="8"/>
  <c r="AM12" i="8" s="1"/>
  <c r="AD12" i="8"/>
  <c r="AC12" i="8"/>
  <c r="AB12" i="8"/>
  <c r="Z12" i="8"/>
  <c r="X12" i="8"/>
  <c r="AJ12" i="8" s="1"/>
  <c r="W12" i="8"/>
  <c r="AA12" i="8" s="1"/>
  <c r="V12" i="8"/>
  <c r="I12" i="8"/>
  <c r="H12" i="8"/>
  <c r="AI12" i="8" s="1"/>
  <c r="E12" i="8"/>
  <c r="Y12" i="8" s="1"/>
  <c r="A12" i="8"/>
  <c r="AR11" i="8"/>
  <c r="AH11" i="8"/>
  <c r="AC11" i="8"/>
  <c r="AB11" i="8"/>
  <c r="Z11" i="8"/>
  <c r="AD11" i="8" s="1"/>
  <c r="AQ11" i="8" s="1"/>
  <c r="X11" i="8"/>
  <c r="AJ11" i="8" s="1"/>
  <c r="AK11" i="8" s="1"/>
  <c r="W11" i="8"/>
  <c r="V11" i="8"/>
  <c r="I11" i="8"/>
  <c r="H11" i="8"/>
  <c r="AI11" i="8" s="1"/>
  <c r="E11" i="8"/>
  <c r="Y11" i="8" s="1"/>
  <c r="AM11" i="8" s="1"/>
  <c r="A11" i="8"/>
  <c r="AT10" i="8"/>
  <c r="AS10" i="8"/>
  <c r="AR10" i="8"/>
  <c r="AM10" i="8"/>
  <c r="AI10" i="8"/>
  <c r="AH10" i="8"/>
  <c r="AC10" i="8"/>
  <c r="AB10" i="8"/>
  <c r="Z10" i="8"/>
  <c r="AD10" i="8" s="1"/>
  <c r="AQ10" i="8" s="1"/>
  <c r="Y10" i="8"/>
  <c r="X10" i="8"/>
  <c r="AJ10" i="8" s="1"/>
  <c r="AK10" i="8" s="1"/>
  <c r="W10" i="8"/>
  <c r="AA10" i="8" s="1"/>
  <c r="V10" i="8"/>
  <c r="I10" i="8"/>
  <c r="H10" i="8"/>
  <c r="E10" i="8"/>
  <c r="A10" i="8"/>
  <c r="AR9" i="8"/>
  <c r="AI9" i="8"/>
  <c r="AH9" i="8"/>
  <c r="AM9" i="8" s="1"/>
  <c r="AD9" i="8"/>
  <c r="AQ9" i="8" s="1"/>
  <c r="AC9" i="8"/>
  <c r="AB9" i="8"/>
  <c r="Z9" i="8"/>
  <c r="Y9" i="8"/>
  <c r="X9" i="8"/>
  <c r="AJ9" i="8" s="1"/>
  <c r="AK9" i="8" s="1"/>
  <c r="W9" i="8"/>
  <c r="AA9" i="8" s="1"/>
  <c r="V9" i="8"/>
  <c r="I9" i="8"/>
  <c r="H9" i="8"/>
  <c r="E9" i="8"/>
  <c r="A9" i="8"/>
  <c r="AU8" i="8"/>
  <c r="AR8" i="8"/>
  <c r="AI8" i="8"/>
  <c r="AH8" i="8"/>
  <c r="AC8" i="8"/>
  <c r="AB8" i="8"/>
  <c r="Z8" i="8"/>
  <c r="AD8" i="8" s="1"/>
  <c r="AQ8" i="8" s="1"/>
  <c r="X8" i="8"/>
  <c r="AJ8" i="8" s="1"/>
  <c r="AK8" i="8" s="1"/>
  <c r="W8" i="8"/>
  <c r="AA8" i="8" s="1"/>
  <c r="V8" i="8"/>
  <c r="I8" i="8"/>
  <c r="H8" i="8"/>
  <c r="E8" i="8"/>
  <c r="Y8" i="8" s="1"/>
  <c r="A8" i="8"/>
  <c r="AR7" i="8"/>
  <c r="AI7" i="8"/>
  <c r="AH7" i="8"/>
  <c r="AC7" i="8"/>
  <c r="AB7" i="8"/>
  <c r="Z7" i="8"/>
  <c r="AD7" i="8" s="1"/>
  <c r="AQ7" i="8" s="1"/>
  <c r="Y7" i="8"/>
  <c r="X7" i="8"/>
  <c r="AJ7" i="8" s="1"/>
  <c r="AK7" i="8" s="1"/>
  <c r="W7" i="8"/>
  <c r="AA7" i="8" s="1"/>
  <c r="V7" i="8"/>
  <c r="I7" i="8"/>
  <c r="H7" i="8"/>
  <c r="E7" i="8"/>
  <c r="A7" i="8"/>
  <c r="AT6" i="8"/>
  <c r="AR6" i="8"/>
  <c r="AI6" i="8"/>
  <c r="AH6" i="8"/>
  <c r="AD6" i="8"/>
  <c r="AQ6" i="8" s="1"/>
  <c r="AC6" i="8"/>
  <c r="AB6" i="8"/>
  <c r="Z6" i="8"/>
  <c r="Y6" i="8"/>
  <c r="AM6" i="8" s="1"/>
  <c r="X6" i="8"/>
  <c r="AA6" i="8" s="1"/>
  <c r="W6" i="8"/>
  <c r="V6" i="8"/>
  <c r="I6" i="8"/>
  <c r="H6" i="8"/>
  <c r="E6" i="8"/>
  <c r="A6" i="8"/>
  <c r="AS5" i="8"/>
  <c r="AR5" i="8"/>
  <c r="AK5" i="8"/>
  <c r="AJ5" i="8"/>
  <c r="AH5" i="8"/>
  <c r="AM5" i="8" s="1"/>
  <c r="AL5" i="8" s="1"/>
  <c r="AC5" i="8"/>
  <c r="AB5" i="8"/>
  <c r="AA5" i="8"/>
  <c r="Z5" i="8"/>
  <c r="AD5" i="8" s="1"/>
  <c r="AQ5" i="8" s="1"/>
  <c r="X5" i="8"/>
  <c r="W5" i="8"/>
  <c r="V5" i="8"/>
  <c r="I5" i="8"/>
  <c r="H5" i="8"/>
  <c r="E5" i="8"/>
  <c r="Y5" i="8" s="1"/>
  <c r="A5" i="8"/>
  <c r="AR4" i="8"/>
  <c r="AL4" i="8"/>
  <c r="AJ4" i="8"/>
  <c r="AK4" i="8" s="1"/>
  <c r="AH4" i="8"/>
  <c r="AC4" i="8"/>
  <c r="AB4" i="8"/>
  <c r="Z4" i="8"/>
  <c r="AD4" i="8" s="1"/>
  <c r="AQ4" i="8" s="1"/>
  <c r="Y4" i="8"/>
  <c r="AM4" i="8" s="1"/>
  <c r="X4" i="8"/>
  <c r="W4" i="8"/>
  <c r="AA4" i="8" s="1"/>
  <c r="V4" i="8"/>
  <c r="I4" i="8"/>
  <c r="H4" i="8"/>
  <c r="AI4" i="8" s="1"/>
  <c r="E4" i="8"/>
  <c r="A4" i="8"/>
  <c r="AT3" i="8"/>
  <c r="AR3" i="8"/>
  <c r="AM3" i="8"/>
  <c r="AN3" i="8" s="1"/>
  <c r="AI3" i="8"/>
  <c r="AH3" i="8"/>
  <c r="AC3" i="8"/>
  <c r="AB3" i="8"/>
  <c r="Z3" i="8"/>
  <c r="X3" i="8"/>
  <c r="W3" i="8"/>
  <c r="V3" i="8"/>
  <c r="I3" i="8"/>
  <c r="H3" i="8"/>
  <c r="E3" i="8"/>
  <c r="Y3" i="8" s="1"/>
  <c r="A3" i="8"/>
  <c r="AU2" i="8"/>
  <c r="AS2" i="8"/>
  <c r="AR2" i="8"/>
  <c r="AI2" i="8"/>
  <c r="AH2" i="8"/>
  <c r="AC2" i="8"/>
  <c r="AB2" i="8"/>
  <c r="Z2" i="8"/>
  <c r="X2" i="8"/>
  <c r="AJ2" i="8" s="1"/>
  <c r="AK2" i="8" s="1"/>
  <c r="W2" i="8"/>
  <c r="V2" i="8"/>
  <c r="V33" i="8" s="1"/>
  <c r="I2" i="8"/>
  <c r="H2" i="8"/>
  <c r="E2" i="8"/>
  <c r="Y2" i="8" s="1"/>
  <c r="A2" i="8"/>
  <c r="Q32" i="7"/>
  <c r="P32" i="7"/>
  <c r="O32" i="7"/>
  <c r="N32" i="7"/>
  <c r="M32" i="7"/>
  <c r="AW31" i="7"/>
  <c r="AV31" i="7"/>
  <c r="AU31" i="7"/>
  <c r="AT31" i="7"/>
  <c r="AS31" i="7"/>
  <c r="AL31" i="7"/>
  <c r="AK31" i="7"/>
  <c r="AI31" i="7"/>
  <c r="AD31" i="7"/>
  <c r="AC31" i="7"/>
  <c r="AB31" i="7"/>
  <c r="AA31" i="7"/>
  <c r="AE31" i="7" s="1"/>
  <c r="AR31" i="7" s="1"/>
  <c r="Y31" i="7"/>
  <c r="X31" i="7"/>
  <c r="W31" i="7"/>
  <c r="K31" i="7"/>
  <c r="I31" i="7"/>
  <c r="H31" i="7"/>
  <c r="E31" i="7"/>
  <c r="Z31" i="7" s="1"/>
  <c r="A31" i="7"/>
  <c r="AW30" i="7"/>
  <c r="AV30" i="7"/>
  <c r="AU30" i="7"/>
  <c r="AT30" i="7"/>
  <c r="AS30" i="7"/>
  <c r="AK30" i="7"/>
  <c r="AL30" i="7" s="1"/>
  <c r="AJ30" i="7"/>
  <c r="AI30" i="7"/>
  <c r="AE30" i="7"/>
  <c r="AR30" i="7" s="1"/>
  <c r="AD30" i="7"/>
  <c r="AC30" i="7"/>
  <c r="AA30" i="7"/>
  <c r="Y30" i="7"/>
  <c r="X30" i="7"/>
  <c r="W30" i="7"/>
  <c r="I30" i="7"/>
  <c r="H30" i="7"/>
  <c r="E30" i="7"/>
  <c r="Z30" i="7" s="1"/>
  <c r="AN30" i="7" s="1"/>
  <c r="A30" i="7"/>
  <c r="AW29" i="7"/>
  <c r="AV29" i="7"/>
  <c r="AU29" i="7"/>
  <c r="AT29" i="7"/>
  <c r="AS29" i="7"/>
  <c r="AK29" i="7"/>
  <c r="AL29" i="7" s="1"/>
  <c r="AI29" i="7"/>
  <c r="AE29" i="7"/>
  <c r="AR29" i="7" s="1"/>
  <c r="AD29" i="7"/>
  <c r="AC29" i="7"/>
  <c r="AA29" i="7"/>
  <c r="Z29" i="7"/>
  <c r="Y29" i="7"/>
  <c r="X29" i="7"/>
  <c r="K29" i="7" s="1"/>
  <c r="W29" i="7"/>
  <c r="I29" i="7"/>
  <c r="H29" i="7"/>
  <c r="AJ29" i="7" s="1"/>
  <c r="E29" i="7"/>
  <c r="A29" i="7"/>
  <c r="AW28" i="7"/>
  <c r="AV28" i="7"/>
  <c r="AU28" i="7"/>
  <c r="AT28" i="7"/>
  <c r="AS28" i="7"/>
  <c r="AK28" i="7"/>
  <c r="AL28" i="7" s="1"/>
  <c r="AI28" i="7"/>
  <c r="AE28" i="7"/>
  <c r="AR28" i="7" s="1"/>
  <c r="AD28" i="7"/>
  <c r="AC28" i="7"/>
  <c r="AB28" i="7"/>
  <c r="AA28" i="7"/>
  <c r="Z28" i="7"/>
  <c r="AN28" i="7" s="1"/>
  <c r="AO28" i="7" s="1"/>
  <c r="Y28" i="7"/>
  <c r="X28" i="7"/>
  <c r="K28" i="7" s="1"/>
  <c r="W28" i="7"/>
  <c r="I28" i="7"/>
  <c r="H28" i="7"/>
  <c r="AJ28" i="7" s="1"/>
  <c r="E28" i="7"/>
  <c r="A28" i="7"/>
  <c r="AW27" i="7"/>
  <c r="AV27" i="7"/>
  <c r="AU27" i="7"/>
  <c r="AT27" i="7"/>
  <c r="AS27" i="7"/>
  <c r="AI27" i="7"/>
  <c r="AE27" i="7"/>
  <c r="AR27" i="7" s="1"/>
  <c r="AD27" i="7"/>
  <c r="AC27" i="7"/>
  <c r="AA27" i="7"/>
  <c r="Z27" i="7"/>
  <c r="Y27" i="7"/>
  <c r="AK27" i="7" s="1"/>
  <c r="AL27" i="7" s="1"/>
  <c r="X27" i="7"/>
  <c r="W27" i="7"/>
  <c r="K27" i="7"/>
  <c r="I27" i="7"/>
  <c r="H27" i="7"/>
  <c r="AJ27" i="7" s="1"/>
  <c r="E27" i="7"/>
  <c r="A27" i="7"/>
  <c r="AW26" i="7"/>
  <c r="AV26" i="7"/>
  <c r="AU26" i="7"/>
  <c r="AT26" i="7"/>
  <c r="AS26" i="7"/>
  <c r="AJ26" i="7"/>
  <c r="AI26" i="7"/>
  <c r="AE26" i="7"/>
  <c r="AR26" i="7" s="1"/>
  <c r="AD26" i="7"/>
  <c r="AC26" i="7"/>
  <c r="AA26" i="7"/>
  <c r="Y26" i="7"/>
  <c r="X26" i="7"/>
  <c r="W26" i="7"/>
  <c r="K26" i="7"/>
  <c r="I26" i="7"/>
  <c r="H26" i="7"/>
  <c r="E26" i="7"/>
  <c r="Z26" i="7" s="1"/>
  <c r="AN26" i="7" s="1"/>
  <c r="A26" i="7"/>
  <c r="AW25" i="7"/>
  <c r="AV25" i="7"/>
  <c r="AU25" i="7"/>
  <c r="AT25" i="7"/>
  <c r="AS25" i="7"/>
  <c r="AJ25" i="7"/>
  <c r="AI25" i="7"/>
  <c r="AD25" i="7"/>
  <c r="AC25" i="7"/>
  <c r="AA25" i="7"/>
  <c r="AE25" i="7" s="1"/>
  <c r="AR25" i="7" s="1"/>
  <c r="Z25" i="7"/>
  <c r="Y25" i="7"/>
  <c r="AK25" i="7" s="1"/>
  <c r="AL25" i="7" s="1"/>
  <c r="X25" i="7"/>
  <c r="W25" i="7"/>
  <c r="I25" i="7"/>
  <c r="H25" i="7"/>
  <c r="E25" i="7"/>
  <c r="A25" i="7"/>
  <c r="AW24" i="7"/>
  <c r="AV24" i="7"/>
  <c r="AU24" i="7"/>
  <c r="AT24" i="7"/>
  <c r="AS24" i="7"/>
  <c r="AI24" i="7"/>
  <c r="AJ24" i="7" s="1"/>
  <c r="AD24" i="7"/>
  <c r="AC24" i="7"/>
  <c r="AA24" i="7"/>
  <c r="AE24" i="7" s="1"/>
  <c r="AR24" i="7" s="1"/>
  <c r="Y24" i="7"/>
  <c r="AK24" i="7" s="1"/>
  <c r="AL24" i="7" s="1"/>
  <c r="X24" i="7"/>
  <c r="W24" i="7"/>
  <c r="K24" i="7"/>
  <c r="I24" i="7"/>
  <c r="H24" i="7"/>
  <c r="E24" i="7"/>
  <c r="Z24" i="7" s="1"/>
  <c r="AN24" i="7" s="1"/>
  <c r="A24" i="7"/>
  <c r="AW23" i="7"/>
  <c r="AV23" i="7"/>
  <c r="AU23" i="7"/>
  <c r="AT23" i="7"/>
  <c r="AS23" i="7"/>
  <c r="AL23" i="7"/>
  <c r="AK23" i="7"/>
  <c r="AI23" i="7"/>
  <c r="AD23" i="7"/>
  <c r="AC23" i="7"/>
  <c r="AA23" i="7"/>
  <c r="AE23" i="7" s="1"/>
  <c r="AR23" i="7" s="1"/>
  <c r="Z23" i="7"/>
  <c r="Y23" i="7"/>
  <c r="X23" i="7"/>
  <c r="K23" i="7" s="1"/>
  <c r="W23" i="7"/>
  <c r="I23" i="7"/>
  <c r="H23" i="7"/>
  <c r="E23" i="7"/>
  <c r="A23" i="7"/>
  <c r="AW22" i="7"/>
  <c r="AV22" i="7"/>
  <c r="AU22" i="7"/>
  <c r="AT22" i="7"/>
  <c r="AS22" i="7"/>
  <c r="AR22" i="7"/>
  <c r="AI22" i="7"/>
  <c r="AE22" i="7"/>
  <c r="AD22" i="7"/>
  <c r="AC22" i="7"/>
  <c r="AA22" i="7"/>
  <c r="Y22" i="7"/>
  <c r="AK22" i="7" s="1"/>
  <c r="AL22" i="7" s="1"/>
  <c r="X22" i="7"/>
  <c r="W22" i="7"/>
  <c r="I22" i="7"/>
  <c r="H22" i="7"/>
  <c r="E22" i="7"/>
  <c r="Z22" i="7" s="1"/>
  <c r="A22" i="7"/>
  <c r="AW21" i="7"/>
  <c r="AV21" i="7"/>
  <c r="AU21" i="7"/>
  <c r="AT21" i="7"/>
  <c r="AS21" i="7"/>
  <c r="AK21" i="7"/>
  <c r="AL21" i="7" s="1"/>
  <c r="AI21" i="7"/>
  <c r="AN21" i="7" s="1"/>
  <c r="AE21" i="7"/>
  <c r="AR21" i="7" s="1"/>
  <c r="AD21" i="7"/>
  <c r="AC21" i="7"/>
  <c r="AA21" i="7"/>
  <c r="Z21" i="7"/>
  <c r="Y21" i="7"/>
  <c r="X21" i="7"/>
  <c r="W21" i="7"/>
  <c r="I21" i="7"/>
  <c r="H21" i="7"/>
  <c r="E21" i="7"/>
  <c r="A21" i="7"/>
  <c r="AW20" i="7"/>
  <c r="AV20" i="7"/>
  <c r="AU20" i="7"/>
  <c r="AT20" i="7"/>
  <c r="AS20" i="7"/>
  <c r="AK20" i="7"/>
  <c r="AL20" i="7" s="1"/>
  <c r="AI20" i="7"/>
  <c r="AD20" i="7"/>
  <c r="AC20" i="7"/>
  <c r="AA20" i="7"/>
  <c r="AE20" i="7" s="1"/>
  <c r="AR20" i="7" s="1"/>
  <c r="Z20" i="7"/>
  <c r="AN20" i="7" s="1"/>
  <c r="Y20" i="7"/>
  <c r="X20" i="7"/>
  <c r="K20" i="7" s="1"/>
  <c r="W20" i="7"/>
  <c r="I20" i="7"/>
  <c r="H20" i="7"/>
  <c r="AB20" i="7" s="1"/>
  <c r="E20" i="7"/>
  <c r="A20" i="7"/>
  <c r="AW19" i="7"/>
  <c r="AV19" i="7"/>
  <c r="AU19" i="7"/>
  <c r="AT19" i="7"/>
  <c r="AS19" i="7"/>
  <c r="AK19" i="7"/>
  <c r="AL19" i="7" s="1"/>
  <c r="AI19" i="7"/>
  <c r="AE19" i="7"/>
  <c r="AR19" i="7" s="1"/>
  <c r="AD19" i="7"/>
  <c r="AC19" i="7"/>
  <c r="AA19" i="7"/>
  <c r="Z19" i="7"/>
  <c r="Y19" i="7"/>
  <c r="X19" i="7"/>
  <c r="K19" i="7" s="1"/>
  <c r="W19" i="7"/>
  <c r="I19" i="7"/>
  <c r="H19" i="7"/>
  <c r="E19" i="7"/>
  <c r="A19" i="7"/>
  <c r="AW18" i="7"/>
  <c r="AV18" i="7"/>
  <c r="AU18" i="7"/>
  <c r="AT18" i="7"/>
  <c r="AS18" i="7"/>
  <c r="AO18" i="7"/>
  <c r="AI18" i="7"/>
  <c r="AD18" i="7"/>
  <c r="AC18" i="7"/>
  <c r="AA18" i="7"/>
  <c r="Y18" i="7"/>
  <c r="X18" i="7"/>
  <c r="W18" i="7"/>
  <c r="K18" i="7"/>
  <c r="I18" i="7"/>
  <c r="H18" i="7"/>
  <c r="E18" i="7"/>
  <c r="Z18" i="7" s="1"/>
  <c r="AN18" i="7" s="1"/>
  <c r="AM18" i="7" s="1"/>
  <c r="A18" i="7"/>
  <c r="AW17" i="7"/>
  <c r="AV17" i="7"/>
  <c r="AU17" i="7"/>
  <c r="AT17" i="7"/>
  <c r="AS17" i="7"/>
  <c r="AJ17" i="7"/>
  <c r="AI17" i="7"/>
  <c r="AD17" i="7"/>
  <c r="AC17" i="7"/>
  <c r="AA17" i="7"/>
  <c r="AE17" i="7" s="1"/>
  <c r="AR17" i="7" s="1"/>
  <c r="Y17" i="7"/>
  <c r="AK17" i="7" s="1"/>
  <c r="AL17" i="7" s="1"/>
  <c r="X17" i="7"/>
  <c r="AB17" i="7" s="1"/>
  <c r="W17" i="7"/>
  <c r="K17" i="7"/>
  <c r="I17" i="7"/>
  <c r="H17" i="7"/>
  <c r="E17" i="7"/>
  <c r="Z17" i="7" s="1"/>
  <c r="A17" i="7"/>
  <c r="AW16" i="7"/>
  <c r="AV16" i="7"/>
  <c r="AU16" i="7"/>
  <c r="AT16" i="7"/>
  <c r="AS16" i="7"/>
  <c r="AK16" i="7"/>
  <c r="AL16" i="7" s="1"/>
  <c r="AI16" i="7"/>
  <c r="AE16" i="7"/>
  <c r="AR16" i="7" s="1"/>
  <c r="AD16" i="7"/>
  <c r="AC16" i="7"/>
  <c r="AA16" i="7"/>
  <c r="Y16" i="7"/>
  <c r="X16" i="7"/>
  <c r="W16" i="7"/>
  <c r="K16" i="7"/>
  <c r="I16" i="7"/>
  <c r="H16" i="7"/>
  <c r="AJ16" i="7" s="1"/>
  <c r="E16" i="7"/>
  <c r="Z16" i="7" s="1"/>
  <c r="AN16" i="7" s="1"/>
  <c r="A16" i="7"/>
  <c r="AW15" i="7"/>
  <c r="AV15" i="7"/>
  <c r="AU15" i="7"/>
  <c r="AT15" i="7"/>
  <c r="AS15" i="7"/>
  <c r="AL15" i="7"/>
  <c r="AI15" i="7"/>
  <c r="AE15" i="7"/>
  <c r="AR15" i="7" s="1"/>
  <c r="AD15" i="7"/>
  <c r="AC15" i="7"/>
  <c r="AA15" i="7"/>
  <c r="Y15" i="7"/>
  <c r="AK15" i="7" s="1"/>
  <c r="X15" i="7"/>
  <c r="AB15" i="7" s="1"/>
  <c r="W15" i="7"/>
  <c r="K15" i="7"/>
  <c r="I15" i="7"/>
  <c r="H15" i="7"/>
  <c r="E15" i="7"/>
  <c r="Z15" i="7" s="1"/>
  <c r="A15" i="7"/>
  <c r="AW14" i="7"/>
  <c r="AV14" i="7"/>
  <c r="AU14" i="7"/>
  <c r="AT14" i="7"/>
  <c r="AS14" i="7"/>
  <c r="AL14" i="7"/>
  <c r="AK14" i="7"/>
  <c r="AI14" i="7"/>
  <c r="AN14" i="7" s="1"/>
  <c r="AM14" i="7" s="1"/>
  <c r="AD14" i="7"/>
  <c r="AC14" i="7"/>
  <c r="AB14" i="7"/>
  <c r="AA14" i="7"/>
  <c r="AE14" i="7" s="1"/>
  <c r="AR14" i="7" s="1"/>
  <c r="Y14" i="7"/>
  <c r="X14" i="7"/>
  <c r="W14" i="7"/>
  <c r="K14" i="7"/>
  <c r="I14" i="7"/>
  <c r="H14" i="7"/>
  <c r="E14" i="7"/>
  <c r="Z14" i="7" s="1"/>
  <c r="A14" i="7"/>
  <c r="AW13" i="7"/>
  <c r="AV13" i="7"/>
  <c r="AU13" i="7"/>
  <c r="AT13" i="7"/>
  <c r="AS13" i="7"/>
  <c r="AK13" i="7"/>
  <c r="AL13" i="7" s="1"/>
  <c r="AI13" i="7"/>
  <c r="AD13" i="7"/>
  <c r="AC13" i="7"/>
  <c r="AA13" i="7"/>
  <c r="AE13" i="7" s="1"/>
  <c r="AR13" i="7" s="1"/>
  <c r="Y13" i="7"/>
  <c r="X13" i="7"/>
  <c r="W13" i="7"/>
  <c r="I13" i="7"/>
  <c r="H13" i="7"/>
  <c r="E13" i="7"/>
  <c r="Z13" i="7" s="1"/>
  <c r="A13" i="7"/>
  <c r="AW12" i="7"/>
  <c r="AV12" i="7"/>
  <c r="AU12" i="7"/>
  <c r="AT12" i="7"/>
  <c r="AS12" i="7"/>
  <c r="AK12" i="7"/>
  <c r="AL12" i="7" s="1"/>
  <c r="AI12" i="7"/>
  <c r="AE12" i="7"/>
  <c r="AR12" i="7" s="1"/>
  <c r="AD12" i="7"/>
  <c r="AC12" i="7"/>
  <c r="AA12" i="7"/>
  <c r="Z12" i="7"/>
  <c r="Y12" i="7"/>
  <c r="X12" i="7"/>
  <c r="AB12" i="7" s="1"/>
  <c r="W12" i="7"/>
  <c r="I12" i="7"/>
  <c r="H12" i="7"/>
  <c r="AJ12" i="7" s="1"/>
  <c r="E12" i="7"/>
  <c r="A12" i="7"/>
  <c r="AW11" i="7"/>
  <c r="AV11" i="7"/>
  <c r="AU11" i="7"/>
  <c r="AT11" i="7"/>
  <c r="AS11" i="7"/>
  <c r="AM11" i="7"/>
  <c r="AL11" i="7"/>
  <c r="AK11" i="7"/>
  <c r="AI11" i="7"/>
  <c r="AD11" i="7"/>
  <c r="AC11" i="7"/>
  <c r="AA11" i="7"/>
  <c r="AE11" i="7" s="1"/>
  <c r="AR11" i="7" s="1"/>
  <c r="Y11" i="7"/>
  <c r="X11" i="7"/>
  <c r="K11" i="7" s="1"/>
  <c r="W11" i="7"/>
  <c r="I11" i="7"/>
  <c r="H11" i="7"/>
  <c r="AJ11" i="7" s="1"/>
  <c r="E11" i="7"/>
  <c r="Z11" i="7" s="1"/>
  <c r="AN11" i="7" s="1"/>
  <c r="AO11" i="7" s="1"/>
  <c r="A11" i="7"/>
  <c r="AW10" i="7"/>
  <c r="AV10" i="7"/>
  <c r="AU10" i="7"/>
  <c r="AT10" i="7"/>
  <c r="AS10" i="7"/>
  <c r="AI10" i="7"/>
  <c r="AE10" i="7"/>
  <c r="AR10" i="7" s="1"/>
  <c r="AD10" i="7"/>
  <c r="AC10" i="7"/>
  <c r="AB10" i="7"/>
  <c r="AA10" i="7"/>
  <c r="Z10" i="7"/>
  <c r="Y10" i="7"/>
  <c r="AK10" i="7" s="1"/>
  <c r="AL10" i="7" s="1"/>
  <c r="X10" i="7"/>
  <c r="K10" i="7" s="1"/>
  <c r="W10" i="7"/>
  <c r="I10" i="7"/>
  <c r="H10" i="7"/>
  <c r="AJ10" i="7" s="1"/>
  <c r="E10" i="7"/>
  <c r="A10" i="7"/>
  <c r="AW9" i="7"/>
  <c r="AV9" i="7"/>
  <c r="AU9" i="7"/>
  <c r="AT9" i="7"/>
  <c r="AS9" i="7"/>
  <c r="AI9" i="7"/>
  <c r="AE9" i="7"/>
  <c r="AR9" i="7" s="1"/>
  <c r="AD9" i="7"/>
  <c r="AC9" i="7"/>
  <c r="AA9" i="7"/>
  <c r="Y9" i="7"/>
  <c r="AK9" i="7" s="1"/>
  <c r="AL9" i="7" s="1"/>
  <c r="X9" i="7"/>
  <c r="W9" i="7"/>
  <c r="K9" i="7"/>
  <c r="I9" i="7"/>
  <c r="H9" i="7"/>
  <c r="E9" i="7"/>
  <c r="Z9" i="7" s="1"/>
  <c r="AN9" i="7" s="1"/>
  <c r="A9" i="7"/>
  <c r="AW8" i="7"/>
  <c r="AV8" i="7"/>
  <c r="AU8" i="7"/>
  <c r="AT8" i="7"/>
  <c r="AS8" i="7"/>
  <c r="AR8" i="7"/>
  <c r="AJ8" i="7"/>
  <c r="AI8" i="7"/>
  <c r="AN8" i="7" s="1"/>
  <c r="AO8" i="7" s="1"/>
  <c r="AD8" i="7"/>
  <c r="AC8" i="7"/>
  <c r="AA8" i="7"/>
  <c r="AE8" i="7" s="1"/>
  <c r="Z8" i="7"/>
  <c r="Y8" i="7"/>
  <c r="AK8" i="7" s="1"/>
  <c r="AL8" i="7" s="1"/>
  <c r="X8" i="7"/>
  <c r="W8" i="7"/>
  <c r="K8" i="7"/>
  <c r="I8" i="7"/>
  <c r="H8" i="7"/>
  <c r="AB8" i="7" s="1"/>
  <c r="E8" i="7"/>
  <c r="A8" i="7"/>
  <c r="AW7" i="7"/>
  <c r="AV7" i="7"/>
  <c r="AU7" i="7"/>
  <c r="AT7" i="7"/>
  <c r="AS7" i="7"/>
  <c r="AL7" i="7"/>
  <c r="AI7" i="7"/>
  <c r="AN7" i="7" s="1"/>
  <c r="AM7" i="7" s="1"/>
  <c r="AE7" i="7"/>
  <c r="AR7" i="7" s="1"/>
  <c r="AD7" i="7"/>
  <c r="AC7" i="7"/>
  <c r="AA7" i="7"/>
  <c r="Y7" i="7"/>
  <c r="AK7" i="7" s="1"/>
  <c r="X7" i="7"/>
  <c r="W7" i="7"/>
  <c r="I7" i="7"/>
  <c r="H7" i="7"/>
  <c r="E7" i="7"/>
  <c r="Z7" i="7" s="1"/>
  <c r="A7" i="7"/>
  <c r="AW6" i="7"/>
  <c r="AV6" i="7"/>
  <c r="AU6" i="7"/>
  <c r="AT6" i="7"/>
  <c r="AS6" i="7"/>
  <c r="AL6" i="7"/>
  <c r="AK6" i="7"/>
  <c r="AI6" i="7"/>
  <c r="AN6" i="7" s="1"/>
  <c r="AD6" i="7"/>
  <c r="AC6" i="7"/>
  <c r="AA6" i="7"/>
  <c r="AE6" i="7" s="1"/>
  <c r="AR6" i="7" s="1"/>
  <c r="Y6" i="7"/>
  <c r="X6" i="7"/>
  <c r="W6" i="7"/>
  <c r="I6" i="7"/>
  <c r="H6" i="7"/>
  <c r="E6" i="7"/>
  <c r="Z6" i="7" s="1"/>
  <c r="A6" i="7"/>
  <c r="AW5" i="7"/>
  <c r="AV5" i="7"/>
  <c r="AU5" i="7"/>
  <c r="AT5" i="7"/>
  <c r="AS5" i="7"/>
  <c r="AR5" i="7"/>
  <c r="AK5" i="7"/>
  <c r="AL5" i="7" s="1"/>
  <c r="AI5" i="7"/>
  <c r="AN5" i="7" s="1"/>
  <c r="AD5" i="7"/>
  <c r="AC5" i="7"/>
  <c r="AA5" i="7"/>
  <c r="AE5" i="7" s="1"/>
  <c r="Z5" i="7"/>
  <c r="Y5" i="7"/>
  <c r="X5" i="7"/>
  <c r="W5" i="7"/>
  <c r="I5" i="7"/>
  <c r="H5" i="7"/>
  <c r="E5" i="7"/>
  <c r="A5" i="7"/>
  <c r="AW4" i="7"/>
  <c r="AV4" i="7"/>
  <c r="AU4" i="7"/>
  <c r="AT4" i="7"/>
  <c r="AS4" i="7"/>
  <c r="AK4" i="7"/>
  <c r="AL4" i="7" s="1"/>
  <c r="AI4" i="7"/>
  <c r="AN4" i="7" s="1"/>
  <c r="AE4" i="7"/>
  <c r="AR4" i="7" s="1"/>
  <c r="AD4" i="7"/>
  <c r="AC4" i="7"/>
  <c r="AA4" i="7"/>
  <c r="Z4" i="7"/>
  <c r="Y4" i="7"/>
  <c r="X4" i="7"/>
  <c r="AB4" i="7" s="1"/>
  <c r="W4" i="7"/>
  <c r="K4" i="7"/>
  <c r="I4" i="7"/>
  <c r="H4" i="7"/>
  <c r="AJ4" i="7" s="1"/>
  <c r="E4" i="7"/>
  <c r="A4" i="7"/>
  <c r="AW3" i="7"/>
  <c r="AV3" i="7"/>
  <c r="AU3" i="7"/>
  <c r="AT3" i="7"/>
  <c r="AS3" i="7"/>
  <c r="AL3" i="7"/>
  <c r="AK3" i="7"/>
  <c r="AI3" i="7"/>
  <c r="AE3" i="7"/>
  <c r="AR3" i="7" s="1"/>
  <c r="AD3" i="7"/>
  <c r="AC3" i="7"/>
  <c r="AA3" i="7"/>
  <c r="Z3" i="7"/>
  <c r="AN3" i="7" s="1"/>
  <c r="Y3" i="7"/>
  <c r="X3" i="7"/>
  <c r="K3" i="7" s="1"/>
  <c r="W3" i="7"/>
  <c r="I3" i="7"/>
  <c r="H3" i="7"/>
  <c r="E3" i="7"/>
  <c r="A3" i="7"/>
  <c r="AW2" i="7"/>
  <c r="AV2" i="7"/>
  <c r="AU2" i="7"/>
  <c r="AT2" i="7"/>
  <c r="AS2" i="7"/>
  <c r="AJ2" i="7"/>
  <c r="AI2" i="7"/>
  <c r="AN2" i="7" s="1"/>
  <c r="AD2" i="7"/>
  <c r="AC2" i="7"/>
  <c r="AA2" i="7"/>
  <c r="Z2" i="7"/>
  <c r="Y2" i="7"/>
  <c r="X2" i="7"/>
  <c r="W2" i="7"/>
  <c r="I2" i="7"/>
  <c r="H2" i="7"/>
  <c r="E2" i="7"/>
  <c r="A2" i="7"/>
  <c r="W37" i="6"/>
  <c r="P33" i="6"/>
  <c r="O33" i="6"/>
  <c r="N33" i="6"/>
  <c r="M33" i="6"/>
  <c r="L33" i="6"/>
  <c r="AR31" i="6"/>
  <c r="AH31" i="6"/>
  <c r="AD31" i="6"/>
  <c r="AQ31" i="6" s="1"/>
  <c r="AC31" i="6"/>
  <c r="AB31" i="6"/>
  <c r="AA31" i="6"/>
  <c r="Z31" i="6"/>
  <c r="X31" i="6"/>
  <c r="AJ31" i="6" s="1"/>
  <c r="AK31" i="6" s="1"/>
  <c r="W31" i="6"/>
  <c r="V31" i="6"/>
  <c r="I31" i="6"/>
  <c r="H31" i="6"/>
  <c r="AI31" i="6" s="1"/>
  <c r="E31" i="6"/>
  <c r="Y31" i="6" s="1"/>
  <c r="AM31" i="6" s="1"/>
  <c r="AL31" i="6" s="1"/>
  <c r="A31" i="6"/>
  <c r="AR30" i="6"/>
  <c r="AM30" i="6"/>
  <c r="AI30" i="6"/>
  <c r="AH30" i="6"/>
  <c r="AC30" i="6"/>
  <c r="AB30" i="6"/>
  <c r="Z30" i="6"/>
  <c r="X30" i="6"/>
  <c r="AJ30" i="6" s="1"/>
  <c r="AK30" i="6" s="1"/>
  <c r="W30" i="6"/>
  <c r="V30" i="6"/>
  <c r="I30" i="6"/>
  <c r="H30" i="6"/>
  <c r="E30" i="6"/>
  <c r="Y30" i="6" s="1"/>
  <c r="A30" i="6"/>
  <c r="AS29" i="6"/>
  <c r="AR29" i="6"/>
  <c r="AJ29" i="6"/>
  <c r="AK29" i="6" s="1"/>
  <c r="AH29" i="6"/>
  <c r="AM29" i="6" s="1"/>
  <c r="AD29" i="6"/>
  <c r="AQ29" i="6" s="1"/>
  <c r="AC29" i="6"/>
  <c r="AB29" i="6"/>
  <c r="Z29" i="6"/>
  <c r="Y29" i="6"/>
  <c r="X29" i="6"/>
  <c r="W29" i="6"/>
  <c r="V29" i="6"/>
  <c r="I29" i="6"/>
  <c r="H29" i="6"/>
  <c r="AI29" i="6" s="1"/>
  <c r="E29" i="6"/>
  <c r="A29" i="6"/>
  <c r="AT28" i="6"/>
  <c r="AS28" i="6"/>
  <c r="AR28" i="6"/>
  <c r="AJ28" i="6"/>
  <c r="AK28" i="6" s="1"/>
  <c r="AI28" i="6"/>
  <c r="AH28" i="6"/>
  <c r="AD28" i="6"/>
  <c r="AQ28" i="6" s="1"/>
  <c r="AC28" i="6"/>
  <c r="AB28" i="6"/>
  <c r="AA28" i="6"/>
  <c r="Z28" i="6"/>
  <c r="Y28" i="6"/>
  <c r="X28" i="6"/>
  <c r="W28" i="6"/>
  <c r="V28" i="6"/>
  <c r="I28" i="6"/>
  <c r="H28" i="6"/>
  <c r="E28" i="6"/>
  <c r="A28" i="6"/>
  <c r="AR27" i="6"/>
  <c r="AJ27" i="6"/>
  <c r="AK27" i="6" s="1"/>
  <c r="AH27" i="6"/>
  <c r="AD27" i="6"/>
  <c r="AQ27" i="6" s="1"/>
  <c r="AC27" i="6"/>
  <c r="AB27" i="6"/>
  <c r="Z27" i="6"/>
  <c r="Y27" i="6"/>
  <c r="X27" i="6"/>
  <c r="W27" i="6"/>
  <c r="AA27" i="6" s="1"/>
  <c r="V27" i="6"/>
  <c r="I27" i="6"/>
  <c r="H27" i="6"/>
  <c r="E27" i="6"/>
  <c r="A27" i="6"/>
  <c r="AT26" i="6"/>
  <c r="AR26" i="6"/>
  <c r="AJ26" i="6"/>
  <c r="AK26" i="6" s="1"/>
  <c r="AH26" i="6"/>
  <c r="AM26" i="6" s="1"/>
  <c r="AC26" i="6"/>
  <c r="AB26" i="6"/>
  <c r="Z26" i="6"/>
  <c r="AD26" i="6" s="1"/>
  <c r="AQ26" i="6" s="1"/>
  <c r="Y26" i="6"/>
  <c r="X26" i="6"/>
  <c r="W26" i="6"/>
  <c r="V26" i="6"/>
  <c r="I26" i="6"/>
  <c r="H26" i="6"/>
  <c r="E26" i="6"/>
  <c r="A26" i="6"/>
  <c r="AR25" i="6"/>
  <c r="AK25" i="6"/>
  <c r="AH25" i="6"/>
  <c r="AC25" i="6"/>
  <c r="AB25" i="6"/>
  <c r="Z25" i="6"/>
  <c r="Y25" i="6"/>
  <c r="X25" i="6"/>
  <c r="AJ25" i="6" s="1"/>
  <c r="W25" i="6"/>
  <c r="V25" i="6"/>
  <c r="I25" i="6"/>
  <c r="H25" i="6"/>
  <c r="E25" i="6"/>
  <c r="A25" i="6"/>
  <c r="AS24" i="6"/>
  <c r="AR24" i="6"/>
  <c r="AI24" i="6"/>
  <c r="AH24" i="6"/>
  <c r="AC24" i="6"/>
  <c r="AB24" i="6"/>
  <c r="AA24" i="6"/>
  <c r="Z24" i="6"/>
  <c r="AD24" i="6" s="1"/>
  <c r="AQ24" i="6" s="1"/>
  <c r="X24" i="6"/>
  <c r="AJ24" i="6" s="1"/>
  <c r="AK24" i="6" s="1"/>
  <c r="W24" i="6"/>
  <c r="V24" i="6"/>
  <c r="I24" i="6"/>
  <c r="H24" i="6"/>
  <c r="E24" i="6"/>
  <c r="Y24" i="6" s="1"/>
  <c r="A24" i="6"/>
  <c r="AS23" i="6"/>
  <c r="AR23" i="6"/>
  <c r="AJ23" i="6"/>
  <c r="AK23" i="6" s="1"/>
  <c r="AH23" i="6"/>
  <c r="AC23" i="6"/>
  <c r="AB23" i="6"/>
  <c r="Z23" i="6"/>
  <c r="AD23" i="6" s="1"/>
  <c r="AQ23" i="6" s="1"/>
  <c r="Y23" i="6"/>
  <c r="AM23" i="6" s="1"/>
  <c r="X23" i="6"/>
  <c r="W23" i="6"/>
  <c r="V23" i="6"/>
  <c r="I23" i="6"/>
  <c r="H23" i="6"/>
  <c r="AI23" i="6" s="1"/>
  <c r="E23" i="6"/>
  <c r="A23" i="6"/>
  <c r="AU22" i="6"/>
  <c r="AS22" i="6"/>
  <c r="AR22" i="6"/>
  <c r="AN22" i="6"/>
  <c r="AP22" i="6" s="1"/>
  <c r="AM22" i="6"/>
  <c r="AL22" i="6"/>
  <c r="AI22" i="6"/>
  <c r="AH22" i="6"/>
  <c r="AD22" i="6"/>
  <c r="AQ22" i="6" s="1"/>
  <c r="AC22" i="6"/>
  <c r="AB22" i="6"/>
  <c r="Z22" i="6"/>
  <c r="X22" i="6"/>
  <c r="W22" i="6"/>
  <c r="V22" i="6"/>
  <c r="I22" i="6"/>
  <c r="H22" i="6"/>
  <c r="E22" i="6"/>
  <c r="Y22" i="6" s="1"/>
  <c r="A22" i="6"/>
  <c r="AT21" i="6"/>
  <c r="AR21" i="6"/>
  <c r="AN21" i="6"/>
  <c r="AJ21" i="6"/>
  <c r="AK21" i="6" s="1"/>
  <c r="AH21" i="6"/>
  <c r="AM21" i="6" s="1"/>
  <c r="AL21" i="6" s="1"/>
  <c r="AD21" i="6"/>
  <c r="AQ21" i="6" s="1"/>
  <c r="AC21" i="6"/>
  <c r="AB21" i="6"/>
  <c r="Z21" i="6"/>
  <c r="Y21" i="6"/>
  <c r="X21" i="6"/>
  <c r="W21" i="6"/>
  <c r="V21" i="6"/>
  <c r="I21" i="6"/>
  <c r="H21" i="6"/>
  <c r="AI21" i="6" s="1"/>
  <c r="E21" i="6"/>
  <c r="A21" i="6"/>
  <c r="AT20" i="6"/>
  <c r="AR20" i="6"/>
  <c r="AH20" i="6"/>
  <c r="AC20" i="6"/>
  <c r="AB20" i="6"/>
  <c r="Z20" i="6"/>
  <c r="X20" i="6"/>
  <c r="AJ20" i="6" s="1"/>
  <c r="AK20" i="6" s="1"/>
  <c r="W20" i="6"/>
  <c r="V20" i="6"/>
  <c r="I20" i="6"/>
  <c r="H20" i="6"/>
  <c r="E20" i="6"/>
  <c r="Y20" i="6" s="1"/>
  <c r="A20" i="6"/>
  <c r="AT19" i="6"/>
  <c r="AS19" i="6"/>
  <c r="AR19" i="6"/>
  <c r="AJ19" i="6"/>
  <c r="AK19" i="6" s="1"/>
  <c r="AH19" i="6"/>
  <c r="AM19" i="6" s="1"/>
  <c r="AC19" i="6"/>
  <c r="AB19" i="6"/>
  <c r="Z19" i="6"/>
  <c r="AD19" i="6" s="1"/>
  <c r="AQ19" i="6" s="1"/>
  <c r="Y19" i="6"/>
  <c r="X19" i="6"/>
  <c r="W19" i="6"/>
  <c r="V19" i="6"/>
  <c r="I19" i="6"/>
  <c r="H19" i="6"/>
  <c r="AI19" i="6" s="1"/>
  <c r="E19" i="6"/>
  <c r="A19" i="6"/>
  <c r="AR18" i="6"/>
  <c r="AK18" i="6"/>
  <c r="AH18" i="6"/>
  <c r="AC18" i="6"/>
  <c r="AB18" i="6"/>
  <c r="Z18" i="6"/>
  <c r="Y18" i="6"/>
  <c r="X18" i="6"/>
  <c r="AJ18" i="6" s="1"/>
  <c r="W18" i="6"/>
  <c r="V18" i="6"/>
  <c r="I18" i="6"/>
  <c r="H18" i="6"/>
  <c r="E18" i="6"/>
  <c r="A18" i="6"/>
  <c r="AS17" i="6"/>
  <c r="AR17" i="6"/>
  <c r="AI17" i="6"/>
  <c r="AH17" i="6"/>
  <c r="AC17" i="6"/>
  <c r="AB17" i="6"/>
  <c r="AA17" i="6"/>
  <c r="Z17" i="6"/>
  <c r="AD17" i="6" s="1"/>
  <c r="AQ17" i="6" s="1"/>
  <c r="X17" i="6"/>
  <c r="AJ17" i="6" s="1"/>
  <c r="AK17" i="6" s="1"/>
  <c r="W17" i="6"/>
  <c r="V17" i="6"/>
  <c r="I17" i="6"/>
  <c r="H17" i="6"/>
  <c r="E17" i="6"/>
  <c r="Y17" i="6" s="1"/>
  <c r="A17" i="6"/>
  <c r="AS16" i="6"/>
  <c r="AR16" i="6"/>
  <c r="AL16" i="6"/>
  <c r="AJ16" i="6"/>
  <c r="AK16" i="6" s="1"/>
  <c r="AH16" i="6"/>
  <c r="AC16" i="6"/>
  <c r="AB16" i="6"/>
  <c r="Z16" i="6"/>
  <c r="AD16" i="6" s="1"/>
  <c r="AQ16" i="6" s="1"/>
  <c r="Y16" i="6"/>
  <c r="AM16" i="6" s="1"/>
  <c r="AN16" i="6" s="1"/>
  <c r="X16" i="6"/>
  <c r="W16" i="6"/>
  <c r="V16" i="6"/>
  <c r="I16" i="6"/>
  <c r="H16" i="6"/>
  <c r="AI16" i="6" s="1"/>
  <c r="E16" i="6"/>
  <c r="A16" i="6"/>
  <c r="AS15" i="6"/>
  <c r="AR15" i="6"/>
  <c r="AK15" i="6"/>
  <c r="AJ15" i="6"/>
  <c r="AH15" i="6"/>
  <c r="AM15" i="6" s="1"/>
  <c r="AC15" i="6"/>
  <c r="AB15" i="6"/>
  <c r="Z15" i="6"/>
  <c r="AD15" i="6" s="1"/>
  <c r="AQ15" i="6" s="1"/>
  <c r="X15" i="6"/>
  <c r="W15" i="6"/>
  <c r="AA15" i="6" s="1"/>
  <c r="V15" i="6"/>
  <c r="I15" i="6"/>
  <c r="H15" i="6"/>
  <c r="AI15" i="6" s="1"/>
  <c r="E15" i="6"/>
  <c r="Y15" i="6" s="1"/>
  <c r="A15" i="6"/>
  <c r="AR14" i="6"/>
  <c r="AM14" i="6"/>
  <c r="AK14" i="6"/>
  <c r="AJ14" i="6"/>
  <c r="AH14" i="6"/>
  <c r="AC14" i="6"/>
  <c r="AB14" i="6"/>
  <c r="Z14" i="6"/>
  <c r="AD14" i="6" s="1"/>
  <c r="AQ14" i="6" s="1"/>
  <c r="X14" i="6"/>
  <c r="W14" i="6"/>
  <c r="AA14" i="6" s="1"/>
  <c r="V14" i="6"/>
  <c r="I14" i="6"/>
  <c r="H14" i="6"/>
  <c r="E14" i="6"/>
  <c r="Y14" i="6" s="1"/>
  <c r="A14" i="6"/>
  <c r="AT13" i="6"/>
  <c r="AR13" i="6"/>
  <c r="AQ13" i="6"/>
  <c r="AH13" i="6"/>
  <c r="AD13" i="6"/>
  <c r="AC13" i="6"/>
  <c r="AB13" i="6"/>
  <c r="Z13" i="6"/>
  <c r="X13" i="6"/>
  <c r="AJ13" i="6" s="1"/>
  <c r="AK13" i="6" s="1"/>
  <c r="W13" i="6"/>
  <c r="V13" i="6"/>
  <c r="I13" i="6"/>
  <c r="H13" i="6"/>
  <c r="AA13" i="6" s="1"/>
  <c r="E13" i="6"/>
  <c r="Y13" i="6" s="1"/>
  <c r="AM13" i="6" s="1"/>
  <c r="A13" i="6"/>
  <c r="AT12" i="6"/>
  <c r="AR12" i="6"/>
  <c r="AM12" i="6"/>
  <c r="AL12" i="6" s="1"/>
  <c r="AJ12" i="6"/>
  <c r="AK12" i="6" s="1"/>
  <c r="AH12" i="6"/>
  <c r="AD12" i="6"/>
  <c r="AQ12" i="6" s="1"/>
  <c r="AC12" i="6"/>
  <c r="AB12" i="6"/>
  <c r="Z12" i="6"/>
  <c r="Y12" i="6"/>
  <c r="X12" i="6"/>
  <c r="W12" i="6"/>
  <c r="AA12" i="6" s="1"/>
  <c r="V12" i="6"/>
  <c r="I12" i="6"/>
  <c r="H12" i="6"/>
  <c r="AI12" i="6" s="1"/>
  <c r="E12" i="6"/>
  <c r="A12" i="6"/>
  <c r="AR11" i="6"/>
  <c r="AJ11" i="6"/>
  <c r="AK11" i="6" s="1"/>
  <c r="AH11" i="6"/>
  <c r="AM11" i="6" s="1"/>
  <c r="AD11" i="6"/>
  <c r="AQ11" i="6" s="1"/>
  <c r="AC11" i="6"/>
  <c r="AB11" i="6"/>
  <c r="Z11" i="6"/>
  <c r="Y11" i="6"/>
  <c r="X11" i="6"/>
  <c r="W11" i="6"/>
  <c r="AA11" i="6" s="1"/>
  <c r="V11" i="6"/>
  <c r="I11" i="6"/>
  <c r="H11" i="6"/>
  <c r="AI11" i="6" s="1"/>
  <c r="E11" i="6"/>
  <c r="A11" i="6"/>
  <c r="AT10" i="6"/>
  <c r="AS10" i="6"/>
  <c r="AR10" i="6"/>
  <c r="AJ10" i="6"/>
  <c r="AK10" i="6" s="1"/>
  <c r="AI10" i="6"/>
  <c r="AH10" i="6"/>
  <c r="AD10" i="6"/>
  <c r="AQ10" i="6" s="1"/>
  <c r="AC10" i="6"/>
  <c r="AB10" i="6"/>
  <c r="AA10" i="6"/>
  <c r="Z10" i="6"/>
  <c r="Y10" i="6"/>
  <c r="X10" i="6"/>
  <c r="W10" i="6"/>
  <c r="V10" i="6"/>
  <c r="I10" i="6"/>
  <c r="H10" i="6"/>
  <c r="E10" i="6"/>
  <c r="A10" i="6"/>
  <c r="AR9" i="6"/>
  <c r="AJ9" i="6"/>
  <c r="AK9" i="6" s="1"/>
  <c r="AH9" i="6"/>
  <c r="AD9" i="6"/>
  <c r="AQ9" i="6" s="1"/>
  <c r="AC9" i="6"/>
  <c r="AB9" i="6"/>
  <c r="Z9" i="6"/>
  <c r="Y9" i="6"/>
  <c r="X9" i="6"/>
  <c r="W9" i="6"/>
  <c r="AA9" i="6" s="1"/>
  <c r="V9" i="6"/>
  <c r="I9" i="6"/>
  <c r="H9" i="6"/>
  <c r="E9" i="6"/>
  <c r="A9" i="6"/>
  <c r="AR8" i="6"/>
  <c r="AI8" i="6"/>
  <c r="AH8" i="6"/>
  <c r="AD8" i="6"/>
  <c r="AQ8" i="6" s="1"/>
  <c r="AC8" i="6"/>
  <c r="AB8" i="6"/>
  <c r="AA8" i="6"/>
  <c r="Z8" i="6"/>
  <c r="X8" i="6"/>
  <c r="AJ8" i="6" s="1"/>
  <c r="AK8" i="6" s="1"/>
  <c r="W8" i="6"/>
  <c r="V8" i="6"/>
  <c r="I8" i="6"/>
  <c r="H8" i="6"/>
  <c r="E8" i="6"/>
  <c r="Y8" i="6" s="1"/>
  <c r="A8" i="6"/>
  <c r="AR7" i="6"/>
  <c r="AI7" i="6"/>
  <c r="AH7" i="6"/>
  <c r="AC7" i="6"/>
  <c r="AB7" i="6"/>
  <c r="AA7" i="6"/>
  <c r="Z7" i="6"/>
  <c r="X7" i="6"/>
  <c r="W7" i="6"/>
  <c r="V7" i="6"/>
  <c r="I7" i="6"/>
  <c r="H7" i="6"/>
  <c r="E7" i="6"/>
  <c r="Y7" i="6" s="1"/>
  <c r="A7" i="6"/>
  <c r="AT6" i="6"/>
  <c r="AR6" i="6"/>
  <c r="AJ6" i="6"/>
  <c r="AK6" i="6" s="1"/>
  <c r="AH6" i="6"/>
  <c r="AM6" i="6" s="1"/>
  <c r="AC6" i="6"/>
  <c r="AB6" i="6"/>
  <c r="Z6" i="6"/>
  <c r="Y6" i="6"/>
  <c r="X6" i="6"/>
  <c r="W6" i="6"/>
  <c r="V6" i="6"/>
  <c r="I6" i="6"/>
  <c r="H6" i="6"/>
  <c r="AI6" i="6" s="1"/>
  <c r="E6" i="6"/>
  <c r="A6" i="6"/>
  <c r="AS5" i="6"/>
  <c r="AR5" i="6"/>
  <c r="AQ5" i="6"/>
  <c r="AI5" i="6"/>
  <c r="AH5" i="6"/>
  <c r="AC5" i="6"/>
  <c r="AB5" i="6"/>
  <c r="AA5" i="6"/>
  <c r="Z5" i="6"/>
  <c r="AD5" i="6" s="1"/>
  <c r="Y5" i="6"/>
  <c r="X5" i="6"/>
  <c r="AJ5" i="6" s="1"/>
  <c r="AK5" i="6" s="1"/>
  <c r="W5" i="6"/>
  <c r="V5" i="6"/>
  <c r="I5" i="6"/>
  <c r="H5" i="6"/>
  <c r="E5" i="6"/>
  <c r="A5" i="6"/>
  <c r="AR4" i="6"/>
  <c r="AI4" i="6"/>
  <c r="AH4" i="6"/>
  <c r="AM4" i="6" s="1"/>
  <c r="AN4" i="6" s="1"/>
  <c r="AC4" i="6"/>
  <c r="AB4" i="6"/>
  <c r="Z4" i="6"/>
  <c r="Y4" i="6"/>
  <c r="X4" i="6"/>
  <c r="AA4" i="6" s="1"/>
  <c r="W4" i="6"/>
  <c r="V4" i="6"/>
  <c r="I4" i="6"/>
  <c r="H4" i="6"/>
  <c r="E4" i="6"/>
  <c r="A4" i="6"/>
  <c r="AT3" i="6"/>
  <c r="AR3" i="6"/>
  <c r="AK3" i="6"/>
  <c r="AJ3" i="6"/>
  <c r="AH3" i="6"/>
  <c r="AC3" i="6"/>
  <c r="AB3" i="6"/>
  <c r="AA3" i="6"/>
  <c r="Z3" i="6"/>
  <c r="AD3" i="6" s="1"/>
  <c r="AQ3" i="6" s="1"/>
  <c r="X3" i="6"/>
  <c r="W3" i="6"/>
  <c r="V3" i="6"/>
  <c r="I3" i="6"/>
  <c r="H3" i="6"/>
  <c r="AI3" i="6" s="1"/>
  <c r="E3" i="6"/>
  <c r="Y3" i="6" s="1"/>
  <c r="AM3" i="6" s="1"/>
  <c r="AN3" i="6" s="1"/>
  <c r="A3" i="6"/>
  <c r="AS2" i="6"/>
  <c r="AR2" i="6"/>
  <c r="AM2" i="6"/>
  <c r="AK2" i="6"/>
  <c r="AJ2" i="6"/>
  <c r="AH2" i="6"/>
  <c r="AC2" i="6"/>
  <c r="AB2" i="6"/>
  <c r="Z2" i="6"/>
  <c r="AD2" i="6" s="1"/>
  <c r="X2" i="6"/>
  <c r="W2" i="6"/>
  <c r="V2" i="6"/>
  <c r="I2" i="6"/>
  <c r="H2" i="6"/>
  <c r="E2" i="6"/>
  <c r="Y2" i="6" s="1"/>
  <c r="A2" i="6"/>
  <c r="P33" i="5"/>
  <c r="O33" i="5"/>
  <c r="N33" i="5"/>
  <c r="M33" i="5"/>
  <c r="L33" i="5"/>
  <c r="AS31" i="5"/>
  <c r="AM31" i="5"/>
  <c r="AH31" i="5"/>
  <c r="AC31" i="5"/>
  <c r="AB31" i="5"/>
  <c r="Z31" i="5"/>
  <c r="AD31" i="5" s="1"/>
  <c r="AR31" i="5" s="1"/>
  <c r="X31" i="5"/>
  <c r="W31" i="5"/>
  <c r="V31" i="5"/>
  <c r="I31" i="5"/>
  <c r="H31" i="5"/>
  <c r="AJ31" i="5" s="1"/>
  <c r="E31" i="5"/>
  <c r="Y31" i="5" s="1"/>
  <c r="AN31" i="5" s="1"/>
  <c r="AO31" i="5" s="1"/>
  <c r="AQ31" i="5" s="1"/>
  <c r="A31" i="5"/>
  <c r="AT30" i="5"/>
  <c r="AS30" i="5"/>
  <c r="AM30" i="5"/>
  <c r="AK30" i="5"/>
  <c r="AL30" i="5" s="1"/>
  <c r="AH30" i="5"/>
  <c r="AN30" i="5" s="1"/>
  <c r="AO30" i="5" s="1"/>
  <c r="AD30" i="5"/>
  <c r="AR30" i="5" s="1"/>
  <c r="AC30" i="5"/>
  <c r="AB30" i="5"/>
  <c r="Z30" i="5"/>
  <c r="Y30" i="5"/>
  <c r="X30" i="5"/>
  <c r="W30" i="5"/>
  <c r="AA30" i="5" s="1"/>
  <c r="V30" i="5"/>
  <c r="I30" i="5"/>
  <c r="H30" i="5"/>
  <c r="E30" i="5"/>
  <c r="A30" i="5"/>
  <c r="AT29" i="5"/>
  <c r="AS29" i="5"/>
  <c r="AJ29" i="5"/>
  <c r="AH29" i="5"/>
  <c r="AD29" i="5"/>
  <c r="AR29" i="5" s="1"/>
  <c r="AC29" i="5"/>
  <c r="AB29" i="5"/>
  <c r="Z29" i="5"/>
  <c r="X29" i="5"/>
  <c r="AK29" i="5" s="1"/>
  <c r="AL29" i="5" s="1"/>
  <c r="W29" i="5"/>
  <c r="V29" i="5"/>
  <c r="I29" i="5"/>
  <c r="H29" i="5"/>
  <c r="E29" i="5"/>
  <c r="Y29" i="5" s="1"/>
  <c r="AN29" i="5" s="1"/>
  <c r="A29" i="5"/>
  <c r="AU28" i="5"/>
  <c r="AT28" i="5"/>
  <c r="AS28" i="5"/>
  <c r="AR28" i="5"/>
  <c r="AN28" i="5"/>
  <c r="AJ28" i="5"/>
  <c r="AH28" i="5"/>
  <c r="AD28" i="5"/>
  <c r="AC28" i="5"/>
  <c r="AB28" i="5"/>
  <c r="Z28" i="5"/>
  <c r="Y28" i="5"/>
  <c r="X28" i="5"/>
  <c r="AK28" i="5" s="1"/>
  <c r="AL28" i="5" s="1"/>
  <c r="W28" i="5"/>
  <c r="AA28" i="5" s="1"/>
  <c r="V28" i="5"/>
  <c r="I28" i="5"/>
  <c r="H28" i="5"/>
  <c r="E28" i="5"/>
  <c r="A28" i="5"/>
  <c r="AS27" i="5"/>
  <c r="AN27" i="5"/>
  <c r="AJ27" i="5"/>
  <c r="AH27" i="5"/>
  <c r="AC27" i="5"/>
  <c r="AB27" i="5"/>
  <c r="Z27" i="5"/>
  <c r="AD27" i="5" s="1"/>
  <c r="AR27" i="5" s="1"/>
  <c r="Y27" i="5"/>
  <c r="X27" i="5"/>
  <c r="AK27" i="5" s="1"/>
  <c r="AL27" i="5" s="1"/>
  <c r="W27" i="5"/>
  <c r="AA27" i="5" s="1"/>
  <c r="V27" i="5"/>
  <c r="I27" i="5"/>
  <c r="H27" i="5"/>
  <c r="E27" i="5"/>
  <c r="A27" i="5"/>
  <c r="AU26" i="5"/>
  <c r="AS26" i="5"/>
  <c r="AH26" i="5"/>
  <c r="AN26" i="5" s="1"/>
  <c r="AO26" i="5" s="1"/>
  <c r="AC26" i="5"/>
  <c r="AB26" i="5"/>
  <c r="Z26" i="5"/>
  <c r="Y26" i="5"/>
  <c r="X26" i="5"/>
  <c r="AK26" i="5" s="1"/>
  <c r="AL26" i="5" s="1"/>
  <c r="W26" i="5"/>
  <c r="V26" i="5"/>
  <c r="I26" i="5"/>
  <c r="H26" i="5"/>
  <c r="E26" i="5"/>
  <c r="A26" i="5"/>
  <c r="AU25" i="5"/>
  <c r="AS25" i="5"/>
  <c r="AN25" i="5"/>
  <c r="AK25" i="5"/>
  <c r="AL25" i="5" s="1"/>
  <c r="AH25" i="5"/>
  <c r="AD25" i="5"/>
  <c r="AR25" i="5" s="1"/>
  <c r="AC25" i="5"/>
  <c r="AB25" i="5"/>
  <c r="Z25" i="5"/>
  <c r="Y25" i="5"/>
  <c r="X25" i="5"/>
  <c r="W25" i="5"/>
  <c r="V25" i="5"/>
  <c r="I25" i="5"/>
  <c r="H25" i="5"/>
  <c r="E25" i="5"/>
  <c r="A25" i="5"/>
  <c r="AT24" i="5"/>
  <c r="AS24" i="5"/>
  <c r="AM24" i="5"/>
  <c r="AL24" i="5"/>
  <c r="AK24" i="5"/>
  <c r="AH24" i="5"/>
  <c r="AC24" i="5"/>
  <c r="AB24" i="5"/>
  <c r="Z24" i="5"/>
  <c r="AD24" i="5" s="1"/>
  <c r="AR24" i="5" s="1"/>
  <c r="Y24" i="5"/>
  <c r="AN24" i="5" s="1"/>
  <c r="AO24" i="5" s="1"/>
  <c r="AP24" i="5" s="1"/>
  <c r="X24" i="5"/>
  <c r="W24" i="5"/>
  <c r="V24" i="5"/>
  <c r="I24" i="5"/>
  <c r="H24" i="5"/>
  <c r="E24" i="5"/>
  <c r="A24" i="5"/>
  <c r="AS23" i="5"/>
  <c r="AL23" i="5"/>
  <c r="AK23" i="5"/>
  <c r="AH23" i="5"/>
  <c r="AN23" i="5" s="1"/>
  <c r="AC23" i="5"/>
  <c r="AB23" i="5"/>
  <c r="Z23" i="5"/>
  <c r="AD23" i="5" s="1"/>
  <c r="AR23" i="5" s="1"/>
  <c r="Y23" i="5"/>
  <c r="X23" i="5"/>
  <c r="W23" i="5"/>
  <c r="AA23" i="5" s="1"/>
  <c r="V23" i="5"/>
  <c r="I23" i="5"/>
  <c r="H23" i="5"/>
  <c r="E23" i="5"/>
  <c r="A23" i="5"/>
  <c r="AS22" i="5"/>
  <c r="AM22" i="5"/>
  <c r="AL22" i="5"/>
  <c r="AK22" i="5"/>
  <c r="AH22" i="5"/>
  <c r="AC22" i="5"/>
  <c r="AB22" i="5"/>
  <c r="Z22" i="5"/>
  <c r="AD22" i="5" s="1"/>
  <c r="AR22" i="5" s="1"/>
  <c r="Y22" i="5"/>
  <c r="AN22" i="5" s="1"/>
  <c r="AO22" i="5" s="1"/>
  <c r="AP22" i="5" s="1"/>
  <c r="X22" i="5"/>
  <c r="W22" i="5"/>
  <c r="V22" i="5"/>
  <c r="I22" i="5"/>
  <c r="H22" i="5"/>
  <c r="E22" i="5"/>
  <c r="A22" i="5"/>
  <c r="AU21" i="5"/>
  <c r="AS21" i="5"/>
  <c r="AN21" i="5"/>
  <c r="AJ21" i="5"/>
  <c r="AH21" i="5"/>
  <c r="AC21" i="5"/>
  <c r="AB21" i="5"/>
  <c r="AA21" i="5"/>
  <c r="Z21" i="5"/>
  <c r="AD21" i="5" s="1"/>
  <c r="AR21" i="5" s="1"/>
  <c r="X21" i="5"/>
  <c r="AK21" i="5" s="1"/>
  <c r="AL21" i="5" s="1"/>
  <c r="W21" i="5"/>
  <c r="V21" i="5"/>
  <c r="I21" i="5"/>
  <c r="H21" i="5"/>
  <c r="E21" i="5"/>
  <c r="Y21" i="5" s="1"/>
  <c r="A21" i="5"/>
  <c r="AU20" i="5"/>
  <c r="AS20" i="5"/>
  <c r="AN20" i="5"/>
  <c r="AO20" i="5" s="1"/>
  <c r="AP20" i="5" s="1"/>
  <c r="AK20" i="5"/>
  <c r="AL20" i="5" s="1"/>
  <c r="AH20" i="5"/>
  <c r="AD20" i="5"/>
  <c r="AR20" i="5" s="1"/>
  <c r="AC20" i="5"/>
  <c r="AQ20" i="5" s="1"/>
  <c r="AB20" i="5"/>
  <c r="Z20" i="5"/>
  <c r="Y20" i="5"/>
  <c r="X20" i="5"/>
  <c r="W20" i="5"/>
  <c r="AA20" i="5" s="1"/>
  <c r="V20" i="5"/>
  <c r="I20" i="5"/>
  <c r="H20" i="5"/>
  <c r="E20" i="5"/>
  <c r="A20" i="5"/>
  <c r="AU19" i="5"/>
  <c r="AT19" i="5"/>
  <c r="AS19" i="5"/>
  <c r="AM19" i="5"/>
  <c r="AJ19" i="5"/>
  <c r="AH19" i="5"/>
  <c r="AN19" i="5" s="1"/>
  <c r="AO19" i="5" s="1"/>
  <c r="AC19" i="5"/>
  <c r="AB19" i="5"/>
  <c r="Z19" i="5"/>
  <c r="Y19" i="5"/>
  <c r="X19" i="5"/>
  <c r="AK19" i="5" s="1"/>
  <c r="AL19" i="5" s="1"/>
  <c r="W19" i="5"/>
  <c r="V19" i="5"/>
  <c r="I19" i="5"/>
  <c r="H19" i="5"/>
  <c r="E19" i="5"/>
  <c r="A19" i="5"/>
  <c r="AS18" i="5"/>
  <c r="AJ18" i="5"/>
  <c r="AH18" i="5"/>
  <c r="AD18" i="5"/>
  <c r="AR18" i="5" s="1"/>
  <c r="AC18" i="5"/>
  <c r="AB18" i="5"/>
  <c r="AA18" i="5"/>
  <c r="Z18" i="5"/>
  <c r="X18" i="5"/>
  <c r="AK18" i="5" s="1"/>
  <c r="AL18" i="5" s="1"/>
  <c r="W18" i="5"/>
  <c r="V18" i="5"/>
  <c r="I18" i="5"/>
  <c r="H18" i="5"/>
  <c r="E18" i="5"/>
  <c r="Y18" i="5" s="1"/>
  <c r="A18" i="5"/>
  <c r="AT17" i="5"/>
  <c r="AS17" i="5"/>
  <c r="AL17" i="5"/>
  <c r="AH17" i="5"/>
  <c r="AC17" i="5"/>
  <c r="AB17" i="5"/>
  <c r="Z17" i="5"/>
  <c r="AD17" i="5" s="1"/>
  <c r="AR17" i="5" s="1"/>
  <c r="Y17" i="5"/>
  <c r="AN17" i="5" s="1"/>
  <c r="X17" i="5"/>
  <c r="AK17" i="5" s="1"/>
  <c r="W17" i="5"/>
  <c r="V17" i="5"/>
  <c r="I17" i="5"/>
  <c r="H17" i="5"/>
  <c r="AJ17" i="5" s="1"/>
  <c r="E17" i="5"/>
  <c r="A17" i="5"/>
  <c r="AT16" i="5"/>
  <c r="AS16" i="5"/>
  <c r="AK16" i="5"/>
  <c r="AL16" i="5" s="1"/>
  <c r="AJ16" i="5"/>
  <c r="AH16" i="5"/>
  <c r="AC16" i="5"/>
  <c r="AB16" i="5"/>
  <c r="Z16" i="5"/>
  <c r="AD16" i="5" s="1"/>
  <c r="AR16" i="5" s="1"/>
  <c r="Y16" i="5"/>
  <c r="X16" i="5"/>
  <c r="W16" i="5"/>
  <c r="AA16" i="5" s="1"/>
  <c r="V16" i="5"/>
  <c r="I16" i="5"/>
  <c r="H16" i="5"/>
  <c r="E16" i="5"/>
  <c r="A16" i="5"/>
  <c r="AT15" i="5"/>
  <c r="AS15" i="5"/>
  <c r="AR15" i="5"/>
  <c r="AK15" i="5"/>
  <c r="AL15" i="5" s="1"/>
  <c r="AJ15" i="5"/>
  <c r="AH15" i="5"/>
  <c r="AD15" i="5"/>
  <c r="AC15" i="5"/>
  <c r="AB15" i="5"/>
  <c r="AA15" i="5"/>
  <c r="Z15" i="5"/>
  <c r="Y15" i="5"/>
  <c r="AN15" i="5" s="1"/>
  <c r="X15" i="5"/>
  <c r="W15" i="5"/>
  <c r="V15" i="5"/>
  <c r="I15" i="5"/>
  <c r="H15" i="5"/>
  <c r="E15" i="5"/>
  <c r="A15" i="5"/>
  <c r="AT14" i="5"/>
  <c r="AS14" i="5"/>
  <c r="AQ14" i="5"/>
  <c r="AO14" i="5"/>
  <c r="AP14" i="5" s="1"/>
  <c r="AL14" i="5"/>
  <c r="AK14" i="5"/>
  <c r="AH14" i="5"/>
  <c r="AN14" i="5" s="1"/>
  <c r="AM14" i="5" s="1"/>
  <c r="AC14" i="5"/>
  <c r="AB14" i="5"/>
  <c r="Z14" i="5"/>
  <c r="AD14" i="5" s="1"/>
  <c r="AR14" i="5" s="1"/>
  <c r="X14" i="5"/>
  <c r="W14" i="5"/>
  <c r="V14" i="5"/>
  <c r="I14" i="5"/>
  <c r="H14" i="5"/>
  <c r="AJ14" i="5" s="1"/>
  <c r="E14" i="5"/>
  <c r="Y14" i="5" s="1"/>
  <c r="A14" i="5"/>
  <c r="AU13" i="5"/>
  <c r="AS13" i="5"/>
  <c r="AP13" i="5"/>
  <c r="AN13" i="5"/>
  <c r="AO13" i="5" s="1"/>
  <c r="AQ13" i="5" s="1"/>
  <c r="AH13" i="5"/>
  <c r="AC13" i="5"/>
  <c r="AB13" i="5"/>
  <c r="AA13" i="5"/>
  <c r="Z13" i="5"/>
  <c r="AD13" i="5" s="1"/>
  <c r="AR13" i="5" s="1"/>
  <c r="X13" i="5"/>
  <c r="AK13" i="5" s="1"/>
  <c r="AL13" i="5" s="1"/>
  <c r="W13" i="5"/>
  <c r="V13" i="5"/>
  <c r="I13" i="5"/>
  <c r="H13" i="5"/>
  <c r="AJ13" i="5" s="1"/>
  <c r="E13" i="5"/>
  <c r="Y13" i="5" s="1"/>
  <c r="A13" i="5"/>
  <c r="AU12" i="5"/>
  <c r="AS12" i="5"/>
  <c r="AK12" i="5"/>
  <c r="AL12" i="5" s="1"/>
  <c r="AH12" i="5"/>
  <c r="AN12" i="5" s="1"/>
  <c r="AD12" i="5"/>
  <c r="AR12" i="5" s="1"/>
  <c r="AC12" i="5"/>
  <c r="AB12" i="5"/>
  <c r="Z12" i="5"/>
  <c r="Y12" i="5"/>
  <c r="X12" i="5"/>
  <c r="W12" i="5"/>
  <c r="AA12" i="5" s="1"/>
  <c r="V12" i="5"/>
  <c r="I12" i="5"/>
  <c r="H12" i="5"/>
  <c r="E12" i="5"/>
  <c r="A12" i="5"/>
  <c r="AS11" i="5"/>
  <c r="AK11" i="5"/>
  <c r="AL11" i="5" s="1"/>
  <c r="AH11" i="5"/>
  <c r="AN11" i="5" s="1"/>
  <c r="AD11" i="5"/>
  <c r="AR11" i="5" s="1"/>
  <c r="AC11" i="5"/>
  <c r="AB11" i="5"/>
  <c r="Z11" i="5"/>
  <c r="Y11" i="5"/>
  <c r="X11" i="5"/>
  <c r="W11" i="5"/>
  <c r="AA11" i="5" s="1"/>
  <c r="V11" i="5"/>
  <c r="I11" i="5"/>
  <c r="H11" i="5"/>
  <c r="AJ11" i="5" s="1"/>
  <c r="E11" i="5"/>
  <c r="A11" i="5"/>
  <c r="AU10" i="5"/>
  <c r="AT10" i="5"/>
  <c r="AS10" i="5"/>
  <c r="AK10" i="5"/>
  <c r="AL10" i="5" s="1"/>
  <c r="AH10" i="5"/>
  <c r="AD10" i="5"/>
  <c r="AR10" i="5" s="1"/>
  <c r="AC10" i="5"/>
  <c r="AB10" i="5"/>
  <c r="Z10" i="5"/>
  <c r="Y10" i="5"/>
  <c r="X10" i="5"/>
  <c r="W10" i="5"/>
  <c r="AA10" i="5" s="1"/>
  <c r="V10" i="5"/>
  <c r="I10" i="5"/>
  <c r="H10" i="5"/>
  <c r="E10" i="5"/>
  <c r="A10" i="5"/>
  <c r="AT9" i="5"/>
  <c r="AS9" i="5"/>
  <c r="AN9" i="5"/>
  <c r="AJ9" i="5"/>
  <c r="AH9" i="5"/>
  <c r="AD9" i="5"/>
  <c r="AR9" i="5" s="1"/>
  <c r="AC9" i="5"/>
  <c r="AB9" i="5"/>
  <c r="Z9" i="5"/>
  <c r="Y9" i="5"/>
  <c r="X9" i="5"/>
  <c r="AK9" i="5" s="1"/>
  <c r="AL9" i="5" s="1"/>
  <c r="W9" i="5"/>
  <c r="AA9" i="5" s="1"/>
  <c r="V9" i="5"/>
  <c r="I9" i="5"/>
  <c r="H9" i="5"/>
  <c r="E9" i="5"/>
  <c r="A9" i="5"/>
  <c r="AT8" i="5"/>
  <c r="AS8" i="5"/>
  <c r="AJ8" i="5"/>
  <c r="AH8" i="5"/>
  <c r="AC8" i="5"/>
  <c r="AB8" i="5"/>
  <c r="AA8" i="5"/>
  <c r="Z8" i="5"/>
  <c r="Y8" i="5"/>
  <c r="X8" i="5"/>
  <c r="AK8" i="5" s="1"/>
  <c r="AL8" i="5" s="1"/>
  <c r="W8" i="5"/>
  <c r="V8" i="5"/>
  <c r="I8" i="5"/>
  <c r="H8" i="5"/>
  <c r="E8" i="5"/>
  <c r="A8" i="5"/>
  <c r="AT7" i="5"/>
  <c r="AS7" i="5"/>
  <c r="AN7" i="5"/>
  <c r="AJ7" i="5"/>
  <c r="AH7" i="5"/>
  <c r="AC7" i="5"/>
  <c r="AB7" i="5"/>
  <c r="Z7" i="5"/>
  <c r="AD7" i="5" s="1"/>
  <c r="AR7" i="5" s="1"/>
  <c r="Y7" i="5"/>
  <c r="X7" i="5"/>
  <c r="AK7" i="5" s="1"/>
  <c r="AL7" i="5" s="1"/>
  <c r="W7" i="5"/>
  <c r="V7" i="5"/>
  <c r="I7" i="5"/>
  <c r="H7" i="5"/>
  <c r="E7" i="5"/>
  <c r="A7" i="5"/>
  <c r="AU6" i="5"/>
  <c r="AS6" i="5"/>
  <c r="AK6" i="5"/>
  <c r="AL6" i="5" s="1"/>
  <c r="AH6" i="5"/>
  <c r="AC6" i="5"/>
  <c r="AB6" i="5"/>
  <c r="Z6" i="5"/>
  <c r="AD6" i="5" s="1"/>
  <c r="AR6" i="5" s="1"/>
  <c r="Y6" i="5"/>
  <c r="X6" i="5"/>
  <c r="W6" i="5"/>
  <c r="AA6" i="5" s="1"/>
  <c r="V6" i="5"/>
  <c r="I6" i="5"/>
  <c r="H6" i="5"/>
  <c r="AJ6" i="5" s="1"/>
  <c r="E6" i="5"/>
  <c r="A6" i="5"/>
  <c r="AT5" i="5"/>
  <c r="AS5" i="5"/>
  <c r="AR5" i="5"/>
  <c r="AO5" i="5"/>
  <c r="AJ5" i="5"/>
  <c r="AH5" i="5"/>
  <c r="AD5" i="5"/>
  <c r="AC5" i="5"/>
  <c r="AB5" i="5"/>
  <c r="AA5" i="5"/>
  <c r="Z5" i="5"/>
  <c r="X5" i="5"/>
  <c r="AK5" i="5" s="1"/>
  <c r="AL5" i="5" s="1"/>
  <c r="W5" i="5"/>
  <c r="V5" i="5"/>
  <c r="I5" i="5"/>
  <c r="H5" i="5"/>
  <c r="E5" i="5"/>
  <c r="Y5" i="5" s="1"/>
  <c r="AN5" i="5" s="1"/>
  <c r="AM5" i="5" s="1"/>
  <c r="A5" i="5"/>
  <c r="AS4" i="5"/>
  <c r="AN4" i="5"/>
  <c r="AL4" i="5"/>
  <c r="AH4" i="5"/>
  <c r="AC4" i="5"/>
  <c r="AB4" i="5"/>
  <c r="AA4" i="5"/>
  <c r="Z4" i="5"/>
  <c r="AD4" i="5" s="1"/>
  <c r="AR4" i="5" s="1"/>
  <c r="X4" i="5"/>
  <c r="AK4" i="5" s="1"/>
  <c r="W4" i="5"/>
  <c r="V4" i="5"/>
  <c r="I4" i="5"/>
  <c r="H4" i="5"/>
  <c r="AJ4" i="5" s="1"/>
  <c r="E4" i="5"/>
  <c r="Y4" i="5" s="1"/>
  <c r="A4" i="5"/>
  <c r="AU3" i="5"/>
  <c r="AS3" i="5"/>
  <c r="AN3" i="5"/>
  <c r="AK3" i="5"/>
  <c r="AL3" i="5" s="1"/>
  <c r="AH3" i="5"/>
  <c r="AD3" i="5"/>
  <c r="AR3" i="5" s="1"/>
  <c r="AC3" i="5"/>
  <c r="AB3" i="5"/>
  <c r="Z3" i="5"/>
  <c r="Y3" i="5"/>
  <c r="X3" i="5"/>
  <c r="W3" i="5"/>
  <c r="AA3" i="5" s="1"/>
  <c r="V3" i="5"/>
  <c r="I3" i="5"/>
  <c r="H3" i="5"/>
  <c r="E3" i="5"/>
  <c r="A3" i="5"/>
  <c r="AT2" i="5"/>
  <c r="AS2" i="5"/>
  <c r="AH2" i="5"/>
  <c r="AN2" i="5" s="1"/>
  <c r="AD2" i="5"/>
  <c r="AC2" i="5"/>
  <c r="AB2" i="5"/>
  <c r="Z2" i="5"/>
  <c r="X2" i="5"/>
  <c r="W2" i="5"/>
  <c r="AA2" i="5" s="1"/>
  <c r="V2" i="5"/>
  <c r="I2" i="5"/>
  <c r="H2" i="5"/>
  <c r="E2" i="5"/>
  <c r="Y2" i="5" s="1"/>
  <c r="A2" i="5"/>
  <c r="P33" i="3"/>
  <c r="O33" i="3"/>
  <c r="N33" i="3"/>
  <c r="L33" i="3"/>
  <c r="AI31" i="3"/>
  <c r="AJ31" i="3" s="1"/>
  <c r="AE31" i="3"/>
  <c r="AG31" i="3" s="1"/>
  <c r="Z31" i="3"/>
  <c r="AM31" i="3" s="1"/>
  <c r="Y31" i="3"/>
  <c r="X31" i="3"/>
  <c r="W31" i="3"/>
  <c r="V31" i="3"/>
  <c r="U31" i="3"/>
  <c r="S31" i="3"/>
  <c r="R31" i="3"/>
  <c r="AM30" i="3"/>
  <c r="AH30" i="3"/>
  <c r="AE30" i="3"/>
  <c r="Z30" i="3"/>
  <c r="Y30" i="3"/>
  <c r="X30" i="3"/>
  <c r="V30" i="3"/>
  <c r="U30" i="3"/>
  <c r="T30" i="3"/>
  <c r="S30" i="3"/>
  <c r="W30" i="3" s="1"/>
  <c r="R30" i="3"/>
  <c r="AM29" i="3"/>
  <c r="AG29" i="3"/>
  <c r="AE29" i="3"/>
  <c r="AI29" i="3" s="1"/>
  <c r="AJ29" i="3" s="1"/>
  <c r="AL29" i="3" s="1"/>
  <c r="Y29" i="3"/>
  <c r="X29" i="3"/>
  <c r="V29" i="3"/>
  <c r="Z29" i="3" s="1"/>
  <c r="U29" i="3"/>
  <c r="T29" i="3"/>
  <c r="AH29" i="3" s="1"/>
  <c r="S29" i="3"/>
  <c r="W29" i="3" s="1"/>
  <c r="R29" i="3"/>
  <c r="AG28" i="3"/>
  <c r="AE28" i="3"/>
  <c r="Y28" i="3"/>
  <c r="X28" i="3"/>
  <c r="W28" i="3"/>
  <c r="V28" i="3"/>
  <c r="U28" i="3"/>
  <c r="AI28" i="3" s="1"/>
  <c r="AJ28" i="3" s="1"/>
  <c r="T28" i="3"/>
  <c r="AH28" i="3" s="1"/>
  <c r="S28" i="3"/>
  <c r="R28" i="3"/>
  <c r="AG27" i="3"/>
  <c r="AE27" i="3"/>
  <c r="Y27" i="3"/>
  <c r="X27" i="3"/>
  <c r="W27" i="3"/>
  <c r="V27" i="3"/>
  <c r="U27" i="3"/>
  <c r="AI27" i="3" s="1"/>
  <c r="AJ27" i="3" s="1"/>
  <c r="T27" i="3"/>
  <c r="AH27" i="3" s="1"/>
  <c r="S27" i="3"/>
  <c r="R27" i="3"/>
  <c r="AH26" i="3"/>
  <c r="AE26" i="3"/>
  <c r="Y26" i="3"/>
  <c r="X26" i="3"/>
  <c r="V26" i="3"/>
  <c r="Z26" i="3" s="1"/>
  <c r="AM26" i="3" s="1"/>
  <c r="U26" i="3"/>
  <c r="T26" i="3"/>
  <c r="S26" i="3"/>
  <c r="W26" i="3" s="1"/>
  <c r="R26" i="3"/>
  <c r="AI25" i="3"/>
  <c r="AJ25" i="3" s="1"/>
  <c r="AL25" i="3" s="1"/>
  <c r="AG25" i="3"/>
  <c r="AE25" i="3"/>
  <c r="Z25" i="3"/>
  <c r="AM25" i="3" s="1"/>
  <c r="Y25" i="3"/>
  <c r="X25" i="3"/>
  <c r="W25" i="3"/>
  <c r="V25" i="3"/>
  <c r="U25" i="3"/>
  <c r="T25" i="3"/>
  <c r="AH25" i="3" s="1"/>
  <c r="S25" i="3"/>
  <c r="R25" i="3"/>
  <c r="AH24" i="3"/>
  <c r="AE24" i="3"/>
  <c r="Z24" i="3"/>
  <c r="AM24" i="3" s="1"/>
  <c r="Y24" i="3"/>
  <c r="X24" i="3"/>
  <c r="V24" i="3"/>
  <c r="U24" i="3"/>
  <c r="T24" i="3"/>
  <c r="S24" i="3"/>
  <c r="W24" i="3" s="1"/>
  <c r="R24" i="3"/>
  <c r="AI23" i="3"/>
  <c r="AJ23" i="3" s="1"/>
  <c r="AE23" i="3"/>
  <c r="AG23" i="3" s="1"/>
  <c r="Y23" i="3"/>
  <c r="X23" i="3"/>
  <c r="V23" i="3"/>
  <c r="U23" i="3"/>
  <c r="T23" i="3"/>
  <c r="S23" i="3"/>
  <c r="R23" i="3"/>
  <c r="AM22" i="3"/>
  <c r="AH22" i="3"/>
  <c r="AE22" i="3"/>
  <c r="Z22" i="3"/>
  <c r="Y22" i="3"/>
  <c r="X22" i="3"/>
  <c r="V22" i="3"/>
  <c r="U22" i="3"/>
  <c r="T22" i="3"/>
  <c r="S22" i="3"/>
  <c r="W22" i="3" s="1"/>
  <c r="R22" i="3"/>
  <c r="AG21" i="3"/>
  <c r="AE21" i="3"/>
  <c r="Z21" i="3"/>
  <c r="AM21" i="3" s="1"/>
  <c r="Y21" i="3"/>
  <c r="X21" i="3"/>
  <c r="V21" i="3"/>
  <c r="U21" i="3"/>
  <c r="AI21" i="3" s="1"/>
  <c r="AJ21" i="3" s="1"/>
  <c r="T21" i="3"/>
  <c r="AH21" i="3" s="1"/>
  <c r="S21" i="3"/>
  <c r="R21" i="3"/>
  <c r="AI20" i="3"/>
  <c r="AJ20" i="3" s="1"/>
  <c r="AG20" i="3"/>
  <c r="AE20" i="3"/>
  <c r="Y20" i="3"/>
  <c r="X20" i="3"/>
  <c r="W20" i="3"/>
  <c r="V20" i="3"/>
  <c r="U20" i="3"/>
  <c r="T20" i="3"/>
  <c r="AH20" i="3" s="1"/>
  <c r="S20" i="3"/>
  <c r="R20" i="3"/>
  <c r="AJ19" i="3"/>
  <c r="AH19" i="3"/>
  <c r="AG19" i="3"/>
  <c r="AE19" i="3"/>
  <c r="Z19" i="3"/>
  <c r="AM19" i="3" s="1"/>
  <c r="Y19" i="3"/>
  <c r="X19" i="3"/>
  <c r="W19" i="3"/>
  <c r="V19" i="3"/>
  <c r="U19" i="3"/>
  <c r="AI19" i="3" s="1"/>
  <c r="T19" i="3"/>
  <c r="S19" i="3"/>
  <c r="R19" i="3"/>
  <c r="AH18" i="3"/>
  <c r="AE18" i="3"/>
  <c r="AG18" i="3" s="1"/>
  <c r="Y18" i="3"/>
  <c r="X18" i="3"/>
  <c r="V18" i="3"/>
  <c r="Z18" i="3" s="1"/>
  <c r="AM18" i="3" s="1"/>
  <c r="U18" i="3"/>
  <c r="T18" i="3"/>
  <c r="S18" i="3"/>
  <c r="W18" i="3" s="1"/>
  <c r="R18" i="3"/>
  <c r="AM17" i="3"/>
  <c r="AI17" i="3"/>
  <c r="AJ17" i="3" s="1"/>
  <c r="AK17" i="3" s="1"/>
  <c r="AG17" i="3"/>
  <c r="AE17" i="3"/>
  <c r="Z17" i="3"/>
  <c r="Y17" i="3"/>
  <c r="AL17" i="3" s="1"/>
  <c r="X17" i="3"/>
  <c r="V17" i="3"/>
  <c r="U17" i="3"/>
  <c r="T17" i="3"/>
  <c r="AH17" i="3" s="1"/>
  <c r="S17" i="3"/>
  <c r="R17" i="3"/>
  <c r="AH16" i="3"/>
  <c r="AE16" i="3"/>
  <c r="Z16" i="3"/>
  <c r="AM16" i="3" s="1"/>
  <c r="Y16" i="3"/>
  <c r="X16" i="3"/>
  <c r="W16" i="3"/>
  <c r="V16" i="3"/>
  <c r="U16" i="3"/>
  <c r="T16" i="3"/>
  <c r="S16" i="3"/>
  <c r="R16" i="3"/>
  <c r="AE15" i="3"/>
  <c r="Y15" i="3"/>
  <c r="X15" i="3"/>
  <c r="V15" i="3"/>
  <c r="Z15" i="3" s="1"/>
  <c r="AM15" i="3" s="1"/>
  <c r="U15" i="3"/>
  <c r="T15" i="3"/>
  <c r="AH15" i="3" s="1"/>
  <c r="S15" i="3"/>
  <c r="R15" i="3"/>
  <c r="AG14" i="3"/>
  <c r="AE14" i="3"/>
  <c r="Y14" i="3"/>
  <c r="X14" i="3"/>
  <c r="V14" i="3"/>
  <c r="U14" i="3"/>
  <c r="T14" i="3"/>
  <c r="Z14" i="3" s="1"/>
  <c r="AM14" i="3" s="1"/>
  <c r="S14" i="3"/>
  <c r="R14" i="3"/>
  <c r="AI13" i="3"/>
  <c r="AE13" i="3"/>
  <c r="AG13" i="3" s="1"/>
  <c r="Y13" i="3"/>
  <c r="X13" i="3"/>
  <c r="V13" i="3"/>
  <c r="Z13" i="3" s="1"/>
  <c r="AM13" i="3" s="1"/>
  <c r="U13" i="3"/>
  <c r="T13" i="3"/>
  <c r="AH13" i="3" s="1"/>
  <c r="S13" i="3"/>
  <c r="W13" i="3" s="1"/>
  <c r="R13" i="3"/>
  <c r="AG12" i="3"/>
  <c r="AE12" i="3"/>
  <c r="AI12" i="3" s="1"/>
  <c r="AJ12" i="3" s="1"/>
  <c r="Y12" i="3"/>
  <c r="X12" i="3"/>
  <c r="V12" i="3"/>
  <c r="U12" i="3"/>
  <c r="T12" i="3"/>
  <c r="AH12" i="3" s="1"/>
  <c r="S12" i="3"/>
  <c r="W12" i="3" s="1"/>
  <c r="R12" i="3"/>
  <c r="AM11" i="3"/>
  <c r="AH11" i="3"/>
  <c r="AG11" i="3"/>
  <c r="AE11" i="3"/>
  <c r="Z11" i="3"/>
  <c r="Y11" i="3"/>
  <c r="X11" i="3"/>
  <c r="V11" i="3"/>
  <c r="U11" i="3"/>
  <c r="AI11" i="3" s="1"/>
  <c r="AJ11" i="3" s="1"/>
  <c r="AL11" i="3" s="1"/>
  <c r="T11" i="3"/>
  <c r="W11" i="3" s="1"/>
  <c r="S11" i="3"/>
  <c r="R11" i="3"/>
  <c r="AH10" i="3"/>
  <c r="AE10" i="3"/>
  <c r="AG10" i="3" s="1"/>
  <c r="Y10" i="3"/>
  <c r="X10" i="3"/>
  <c r="V10" i="3"/>
  <c r="Z10" i="3" s="1"/>
  <c r="AM10" i="3" s="1"/>
  <c r="U10" i="3"/>
  <c r="T10" i="3"/>
  <c r="S10" i="3"/>
  <c r="W10" i="3" s="1"/>
  <c r="R10" i="3"/>
  <c r="AM9" i="3"/>
  <c r="AJ9" i="3"/>
  <c r="AL9" i="3" s="1"/>
  <c r="AI9" i="3"/>
  <c r="AG9" i="3"/>
  <c r="AE9" i="3"/>
  <c r="Y9" i="3"/>
  <c r="X9" i="3"/>
  <c r="W9" i="3"/>
  <c r="V9" i="3"/>
  <c r="Z9" i="3" s="1"/>
  <c r="U9" i="3"/>
  <c r="T9" i="3"/>
  <c r="AH9" i="3" s="1"/>
  <c r="S9" i="3"/>
  <c r="R9" i="3"/>
  <c r="AH8" i="3"/>
  <c r="AE8" i="3"/>
  <c r="Z8" i="3"/>
  <c r="AM8" i="3" s="1"/>
  <c r="Y8" i="3"/>
  <c r="X8" i="3"/>
  <c r="W8" i="3"/>
  <c r="V8" i="3"/>
  <c r="U8" i="3"/>
  <c r="T8" i="3"/>
  <c r="S8" i="3"/>
  <c r="R8" i="3"/>
  <c r="AI7" i="3"/>
  <c r="AG7" i="3"/>
  <c r="AE7" i="3"/>
  <c r="Y7" i="3"/>
  <c r="X7" i="3"/>
  <c r="V7" i="3"/>
  <c r="U7" i="3"/>
  <c r="T7" i="3"/>
  <c r="AH7" i="3" s="1"/>
  <c r="S7" i="3"/>
  <c r="W7" i="3" s="1"/>
  <c r="R7" i="3"/>
  <c r="AJ6" i="3"/>
  <c r="AK6" i="3" s="1"/>
  <c r="AG6" i="3"/>
  <c r="AE6" i="3"/>
  <c r="AI6" i="3" s="1"/>
  <c r="Y6" i="3"/>
  <c r="X6" i="3"/>
  <c r="V6" i="3"/>
  <c r="U6" i="3"/>
  <c r="T6" i="3"/>
  <c r="AH6" i="3" s="1"/>
  <c r="S6" i="3"/>
  <c r="W6" i="3" s="1"/>
  <c r="R6" i="3"/>
  <c r="AI5" i="3"/>
  <c r="AJ5" i="3" s="1"/>
  <c r="AE5" i="3"/>
  <c r="AG5" i="3" s="1"/>
  <c r="Y5" i="3"/>
  <c r="X5" i="3"/>
  <c r="V5" i="3"/>
  <c r="U5" i="3"/>
  <c r="U33" i="3" s="1"/>
  <c r="T5" i="3"/>
  <c r="AH5" i="3" s="1"/>
  <c r="S5" i="3"/>
  <c r="R5" i="3"/>
  <c r="AE4" i="3"/>
  <c r="AI4" i="3" s="1"/>
  <c r="AJ4" i="3" s="1"/>
  <c r="Y4" i="3"/>
  <c r="X4" i="3"/>
  <c r="V4" i="3"/>
  <c r="Z4" i="3" s="1"/>
  <c r="AM4" i="3" s="1"/>
  <c r="U4" i="3"/>
  <c r="T4" i="3"/>
  <c r="AH4" i="3" s="1"/>
  <c r="S4" i="3"/>
  <c r="W4" i="3" s="1"/>
  <c r="R4" i="3"/>
  <c r="AI3" i="3"/>
  <c r="AJ3" i="3" s="1"/>
  <c r="AH3" i="3"/>
  <c r="AG3" i="3"/>
  <c r="AE3" i="3"/>
  <c r="Y3" i="3"/>
  <c r="X3" i="3"/>
  <c r="W3" i="3"/>
  <c r="V3" i="3"/>
  <c r="Z3" i="3" s="1"/>
  <c r="AM3" i="3" s="1"/>
  <c r="U3" i="3"/>
  <c r="T3" i="3"/>
  <c r="S3" i="3"/>
  <c r="R3" i="3"/>
  <c r="AI2" i="3"/>
  <c r="AJ2" i="3" s="1"/>
  <c r="AK2" i="3" s="1"/>
  <c r="AH2" i="3"/>
  <c r="AE2" i="3"/>
  <c r="AG2" i="3" s="1"/>
  <c r="Y2" i="3"/>
  <c r="X2" i="3"/>
  <c r="W2" i="3"/>
  <c r="V2" i="3"/>
  <c r="U2" i="3"/>
  <c r="T2" i="3"/>
  <c r="T33" i="3" s="1"/>
  <c r="S2" i="3"/>
  <c r="R2" i="3"/>
  <c r="P32" i="2"/>
  <c r="O32" i="2"/>
  <c r="N32" i="2"/>
  <c r="M32" i="2"/>
  <c r="L32" i="2"/>
  <c r="AS31" i="2"/>
  <c r="AR31" i="2"/>
  <c r="AN31" i="2"/>
  <c r="AO31" i="2" s="1"/>
  <c r="AJ31" i="2"/>
  <c r="AK31" i="2" s="1"/>
  <c r="AH31" i="2"/>
  <c r="AM31" i="2" s="1"/>
  <c r="AL31" i="2" s="1"/>
  <c r="AC31" i="2"/>
  <c r="AB31" i="2"/>
  <c r="Z31" i="2"/>
  <c r="AD31" i="2" s="1"/>
  <c r="AQ31" i="2" s="1"/>
  <c r="X31" i="2"/>
  <c r="W31" i="2"/>
  <c r="AA31" i="2" s="1"/>
  <c r="V31" i="2"/>
  <c r="I31" i="2"/>
  <c r="H31" i="2"/>
  <c r="E31" i="2"/>
  <c r="Y31" i="2" s="1"/>
  <c r="A31" i="2"/>
  <c r="AT30" i="2"/>
  <c r="AS30" i="2"/>
  <c r="AR30" i="2"/>
  <c r="AK30" i="2"/>
  <c r="AJ30" i="2"/>
  <c r="AH30" i="2"/>
  <c r="AC30" i="2"/>
  <c r="AB30" i="2"/>
  <c r="AA30" i="2"/>
  <c r="Z30" i="2"/>
  <c r="AD30" i="2" s="1"/>
  <c r="AQ30" i="2" s="1"/>
  <c r="X30" i="2"/>
  <c r="W30" i="2"/>
  <c r="V30" i="2"/>
  <c r="I30" i="2"/>
  <c r="H30" i="2"/>
  <c r="AI30" i="2" s="1"/>
  <c r="E30" i="2"/>
  <c r="Y30" i="2" s="1"/>
  <c r="AM30" i="2" s="1"/>
  <c r="A30" i="2"/>
  <c r="AS29" i="2"/>
  <c r="AR29" i="2"/>
  <c r="AK29" i="2"/>
  <c r="AI29" i="2"/>
  <c r="AH29" i="2"/>
  <c r="AC29" i="2"/>
  <c r="AB29" i="2"/>
  <c r="Z29" i="2"/>
  <c r="X29" i="2"/>
  <c r="AJ29" i="2" s="1"/>
  <c r="W29" i="2"/>
  <c r="V29" i="2"/>
  <c r="I29" i="2"/>
  <c r="H29" i="2"/>
  <c r="AA29" i="2" s="1"/>
  <c r="E29" i="2"/>
  <c r="Y29" i="2" s="1"/>
  <c r="AM29" i="2" s="1"/>
  <c r="A29" i="2"/>
  <c r="AS28" i="2"/>
  <c r="AR28" i="2"/>
  <c r="AJ28" i="2"/>
  <c r="AK28" i="2" s="1"/>
  <c r="AH28" i="2"/>
  <c r="AD28" i="2"/>
  <c r="AQ28" i="2" s="1"/>
  <c r="AC28" i="2"/>
  <c r="AB28" i="2"/>
  <c r="Z28" i="2"/>
  <c r="Y28" i="2"/>
  <c r="AM28" i="2" s="1"/>
  <c r="X28" i="2"/>
  <c r="W28" i="2"/>
  <c r="AA28" i="2" s="1"/>
  <c r="V28" i="2"/>
  <c r="I28" i="2"/>
  <c r="H28" i="2"/>
  <c r="AI28" i="2" s="1"/>
  <c r="E28" i="2"/>
  <c r="A28" i="2"/>
  <c r="AS27" i="2"/>
  <c r="AR27" i="2"/>
  <c r="AK27" i="2"/>
  <c r="AI27" i="2"/>
  <c r="AH27" i="2"/>
  <c r="AC27" i="2"/>
  <c r="AB27" i="2"/>
  <c r="Z27" i="2"/>
  <c r="AD27" i="2" s="1"/>
  <c r="AQ27" i="2" s="1"/>
  <c r="X27" i="2"/>
  <c r="AJ27" i="2" s="1"/>
  <c r="W27" i="2"/>
  <c r="AA27" i="2" s="1"/>
  <c r="V27" i="2"/>
  <c r="I27" i="2"/>
  <c r="H27" i="2"/>
  <c r="E27" i="2"/>
  <c r="Y27" i="2" s="1"/>
  <c r="A27" i="2"/>
  <c r="AR26" i="2"/>
  <c r="AI26" i="2"/>
  <c r="AH26" i="2"/>
  <c r="AC26" i="2"/>
  <c r="AB26" i="2"/>
  <c r="Z26" i="2"/>
  <c r="X26" i="2"/>
  <c r="AJ26" i="2" s="1"/>
  <c r="AK26" i="2" s="1"/>
  <c r="W26" i="2"/>
  <c r="V26" i="2"/>
  <c r="I26" i="2"/>
  <c r="H26" i="2"/>
  <c r="E26" i="2"/>
  <c r="Y26" i="2" s="1"/>
  <c r="AM26" i="2" s="1"/>
  <c r="AL26" i="2" s="1"/>
  <c r="A26" i="2"/>
  <c r="AR25" i="2"/>
  <c r="AQ25" i="2"/>
  <c r="AK25" i="2"/>
  <c r="AH25" i="2"/>
  <c r="AD25" i="2"/>
  <c r="AC25" i="2"/>
  <c r="AB25" i="2"/>
  <c r="Z25" i="2"/>
  <c r="X25" i="2"/>
  <c r="AJ25" i="2" s="1"/>
  <c r="W25" i="2"/>
  <c r="V25" i="2"/>
  <c r="I25" i="2"/>
  <c r="H25" i="2"/>
  <c r="AI25" i="2" s="1"/>
  <c r="E25" i="2"/>
  <c r="Y25" i="2" s="1"/>
  <c r="A25" i="2"/>
  <c r="AS24" i="2"/>
  <c r="AR24" i="2"/>
  <c r="AJ24" i="2"/>
  <c r="AK24" i="2" s="1"/>
  <c r="AI24" i="2"/>
  <c r="AH24" i="2"/>
  <c r="AC24" i="2"/>
  <c r="AB24" i="2"/>
  <c r="AA24" i="2"/>
  <c r="Z24" i="2"/>
  <c r="X24" i="2"/>
  <c r="AD24" i="2" s="1"/>
  <c r="AQ24" i="2" s="1"/>
  <c r="W24" i="2"/>
  <c r="V24" i="2"/>
  <c r="I24" i="2"/>
  <c r="H24" i="2"/>
  <c r="E24" i="2"/>
  <c r="Y24" i="2" s="1"/>
  <c r="A24" i="2"/>
  <c r="AS23" i="2"/>
  <c r="AR23" i="2"/>
  <c r="AJ23" i="2"/>
  <c r="AK23" i="2" s="1"/>
  <c r="AI23" i="2"/>
  <c r="AH23" i="2"/>
  <c r="AC23" i="2"/>
  <c r="AB23" i="2"/>
  <c r="Z23" i="2"/>
  <c r="Y23" i="2"/>
  <c r="AM23" i="2" s="1"/>
  <c r="X23" i="2"/>
  <c r="W23" i="2"/>
  <c r="AA23" i="2" s="1"/>
  <c r="V23" i="2"/>
  <c r="I23" i="2"/>
  <c r="H23" i="2"/>
  <c r="E23" i="2"/>
  <c r="A23" i="2"/>
  <c r="AS22" i="2"/>
  <c r="AR22" i="2"/>
  <c r="AJ22" i="2"/>
  <c r="AK22" i="2" s="1"/>
  <c r="AH22" i="2"/>
  <c r="AM22" i="2" s="1"/>
  <c r="AC22" i="2"/>
  <c r="AB22" i="2"/>
  <c r="Z22" i="2"/>
  <c r="AD22" i="2" s="1"/>
  <c r="AQ22" i="2" s="1"/>
  <c r="Y22" i="2"/>
  <c r="X22" i="2"/>
  <c r="W22" i="2"/>
  <c r="AA22" i="2" s="1"/>
  <c r="V22" i="2"/>
  <c r="I22" i="2"/>
  <c r="H22" i="2"/>
  <c r="E22" i="2"/>
  <c r="A22" i="2"/>
  <c r="AS21" i="2"/>
  <c r="AR21" i="2"/>
  <c r="AI21" i="2"/>
  <c r="AH21" i="2"/>
  <c r="AC21" i="2"/>
  <c r="AB21" i="2"/>
  <c r="Z21" i="2"/>
  <c r="Y21" i="2"/>
  <c r="AM21" i="2" s="1"/>
  <c r="X21" i="2"/>
  <c r="W21" i="2"/>
  <c r="V21" i="2"/>
  <c r="I21" i="2"/>
  <c r="H21" i="2"/>
  <c r="E21" i="2"/>
  <c r="A21" i="2"/>
  <c r="AT20" i="2"/>
  <c r="AS20" i="2"/>
  <c r="AR20" i="2"/>
  <c r="AI20" i="2"/>
  <c r="AH20" i="2"/>
  <c r="AC20" i="2"/>
  <c r="AB20" i="2"/>
  <c r="Z20" i="2"/>
  <c r="X20" i="2"/>
  <c r="AJ20" i="2" s="1"/>
  <c r="AK20" i="2" s="1"/>
  <c r="W20" i="2"/>
  <c r="V20" i="2"/>
  <c r="I20" i="2"/>
  <c r="H20" i="2"/>
  <c r="AA20" i="2" s="1"/>
  <c r="E20" i="2"/>
  <c r="Y20" i="2" s="1"/>
  <c r="AM20" i="2" s="1"/>
  <c r="A20" i="2"/>
  <c r="AR19" i="2"/>
  <c r="AH19" i="2"/>
  <c r="AC19" i="2"/>
  <c r="AB19" i="2"/>
  <c r="Z19" i="2"/>
  <c r="X19" i="2"/>
  <c r="AJ19" i="2" s="1"/>
  <c r="AK19" i="2" s="1"/>
  <c r="W19" i="2"/>
  <c r="V19" i="2"/>
  <c r="I19" i="2"/>
  <c r="H19" i="2"/>
  <c r="AA19" i="2" s="1"/>
  <c r="E19" i="2"/>
  <c r="Y19" i="2" s="1"/>
  <c r="AM19" i="2" s="1"/>
  <c r="AL19" i="2" s="1"/>
  <c r="A19" i="2"/>
  <c r="AT18" i="2"/>
  <c r="AR18" i="2"/>
  <c r="AJ18" i="2"/>
  <c r="AK18" i="2" s="1"/>
  <c r="AH18" i="2"/>
  <c r="AD18" i="2"/>
  <c r="AQ18" i="2" s="1"/>
  <c r="AC18" i="2"/>
  <c r="AB18" i="2"/>
  <c r="AA18" i="2"/>
  <c r="Z18" i="2"/>
  <c r="Y18" i="2"/>
  <c r="AM18" i="2" s="1"/>
  <c r="X18" i="2"/>
  <c r="W18" i="2"/>
  <c r="V18" i="2"/>
  <c r="I18" i="2"/>
  <c r="H18" i="2"/>
  <c r="E18" i="2"/>
  <c r="A18" i="2"/>
  <c r="AR17" i="2"/>
  <c r="AJ17" i="2"/>
  <c r="AK17" i="2" s="1"/>
  <c r="AH17" i="2"/>
  <c r="AD17" i="2"/>
  <c r="AQ17" i="2" s="1"/>
  <c r="AC17" i="2"/>
  <c r="AB17" i="2"/>
  <c r="Z17" i="2"/>
  <c r="X17" i="2"/>
  <c r="W17" i="2"/>
  <c r="V17" i="2"/>
  <c r="I17" i="2"/>
  <c r="H17" i="2"/>
  <c r="AI17" i="2" s="1"/>
  <c r="E17" i="2"/>
  <c r="Y17" i="2" s="1"/>
  <c r="AM17" i="2" s="1"/>
  <c r="A17" i="2"/>
  <c r="AR16" i="2"/>
  <c r="AJ16" i="2"/>
  <c r="AK16" i="2" s="1"/>
  <c r="AH16" i="2"/>
  <c r="AD16" i="2"/>
  <c r="AQ16" i="2" s="1"/>
  <c r="AC16" i="2"/>
  <c r="AB16" i="2"/>
  <c r="AA16" i="2"/>
  <c r="Z16" i="2"/>
  <c r="Y16" i="2"/>
  <c r="AM16" i="2" s="1"/>
  <c r="X16" i="2"/>
  <c r="W16" i="2"/>
  <c r="V16" i="2"/>
  <c r="I16" i="2"/>
  <c r="H16" i="2"/>
  <c r="E16" i="2"/>
  <c r="A16" i="2"/>
  <c r="AR15" i="2"/>
  <c r="AJ15" i="2"/>
  <c r="AK15" i="2" s="1"/>
  <c r="AH15" i="2"/>
  <c r="AM15" i="2" s="1"/>
  <c r="AD15" i="2"/>
  <c r="AQ15" i="2" s="1"/>
  <c r="AC15" i="2"/>
  <c r="AB15" i="2"/>
  <c r="Z15" i="2"/>
  <c r="Y15" i="2"/>
  <c r="X15" i="2"/>
  <c r="W15" i="2"/>
  <c r="V15" i="2"/>
  <c r="I15" i="2"/>
  <c r="H15" i="2"/>
  <c r="AI15" i="2" s="1"/>
  <c r="E15" i="2"/>
  <c r="A15" i="2"/>
  <c r="AT14" i="2"/>
  <c r="AR14" i="2"/>
  <c r="AK14" i="2"/>
  <c r="AH14" i="2"/>
  <c r="AM14" i="2" s="1"/>
  <c r="AL14" i="2" s="1"/>
  <c r="AD14" i="2"/>
  <c r="AQ14" i="2" s="1"/>
  <c r="AC14" i="2"/>
  <c r="AB14" i="2"/>
  <c r="Z14" i="2"/>
  <c r="X14" i="2"/>
  <c r="AJ14" i="2" s="1"/>
  <c r="W14" i="2"/>
  <c r="V14" i="2"/>
  <c r="I14" i="2"/>
  <c r="H14" i="2"/>
  <c r="AI14" i="2" s="1"/>
  <c r="E14" i="2"/>
  <c r="Y14" i="2" s="1"/>
  <c r="A14" i="2"/>
  <c r="AR13" i="2"/>
  <c r="AK13" i="2"/>
  <c r="AH13" i="2"/>
  <c r="AM13" i="2" s="1"/>
  <c r="AC13" i="2"/>
  <c r="AB13" i="2"/>
  <c r="Z13" i="2"/>
  <c r="AD13" i="2" s="1"/>
  <c r="AQ13" i="2" s="1"/>
  <c r="X13" i="2"/>
  <c r="AJ13" i="2" s="1"/>
  <c r="W13" i="2"/>
  <c r="V13" i="2"/>
  <c r="I13" i="2"/>
  <c r="H13" i="2"/>
  <c r="E13" i="2"/>
  <c r="Y13" i="2" s="1"/>
  <c r="A13" i="2"/>
  <c r="AS12" i="2"/>
  <c r="AR12" i="2"/>
  <c r="AH12" i="2"/>
  <c r="AC12" i="2"/>
  <c r="AB12" i="2"/>
  <c r="Z12" i="2"/>
  <c r="Y12" i="2"/>
  <c r="X12" i="2"/>
  <c r="AD12" i="2" s="1"/>
  <c r="AQ12" i="2" s="1"/>
  <c r="W12" i="2"/>
  <c r="AA12" i="2" s="1"/>
  <c r="V12" i="2"/>
  <c r="I12" i="2"/>
  <c r="H12" i="2"/>
  <c r="E12" i="2"/>
  <c r="A12" i="2"/>
  <c r="AR11" i="2"/>
  <c r="AQ11" i="2"/>
  <c r="AI11" i="2"/>
  <c r="AH11" i="2"/>
  <c r="AD11" i="2"/>
  <c r="AC11" i="2"/>
  <c r="AB11" i="2"/>
  <c r="AA11" i="2"/>
  <c r="Z11" i="2"/>
  <c r="X11" i="2"/>
  <c r="AJ11" i="2" s="1"/>
  <c r="AK11" i="2" s="1"/>
  <c r="W11" i="2"/>
  <c r="V11" i="2"/>
  <c r="I11" i="2"/>
  <c r="H11" i="2"/>
  <c r="E11" i="2"/>
  <c r="Y11" i="2" s="1"/>
  <c r="A11" i="2"/>
  <c r="AR10" i="2"/>
  <c r="AI10" i="2"/>
  <c r="AH10" i="2"/>
  <c r="AC10" i="2"/>
  <c r="AB10" i="2"/>
  <c r="Z10" i="2"/>
  <c r="Y10" i="2"/>
  <c r="X10" i="2"/>
  <c r="W10" i="2"/>
  <c r="V10" i="2"/>
  <c r="I10" i="2"/>
  <c r="H10" i="2"/>
  <c r="E10" i="2"/>
  <c r="A10" i="2"/>
  <c r="AR9" i="2"/>
  <c r="AQ9" i="2"/>
  <c r="AH9" i="2"/>
  <c r="AD9" i="2"/>
  <c r="AC9" i="2"/>
  <c r="AB9" i="2"/>
  <c r="Z9" i="2"/>
  <c r="X9" i="2"/>
  <c r="AJ9" i="2" s="1"/>
  <c r="AK9" i="2" s="1"/>
  <c r="W9" i="2"/>
  <c r="AA9" i="2" s="1"/>
  <c r="V9" i="2"/>
  <c r="I9" i="2"/>
  <c r="H9" i="2"/>
  <c r="E9" i="2"/>
  <c r="Y9" i="2" s="1"/>
  <c r="A9" i="2"/>
  <c r="AU8" i="2"/>
  <c r="AR8" i="2"/>
  <c r="AM8" i="2"/>
  <c r="AI8" i="2"/>
  <c r="AH8" i="2"/>
  <c r="AC8" i="2"/>
  <c r="AB8" i="2"/>
  <c r="Z8" i="2"/>
  <c r="AD8" i="2" s="1"/>
  <c r="AQ8" i="2" s="1"/>
  <c r="Y8" i="2"/>
  <c r="X8" i="2"/>
  <c r="AJ8" i="2" s="1"/>
  <c r="AK8" i="2" s="1"/>
  <c r="W8" i="2"/>
  <c r="AA8" i="2" s="1"/>
  <c r="V8" i="2"/>
  <c r="I8" i="2"/>
  <c r="H8" i="2"/>
  <c r="E8" i="2"/>
  <c r="A8" i="2"/>
  <c r="AR7" i="2"/>
  <c r="AH7" i="2"/>
  <c r="AD7" i="2"/>
  <c r="AQ7" i="2" s="1"/>
  <c r="AC7" i="2"/>
  <c r="AB7" i="2"/>
  <c r="Z7" i="2"/>
  <c r="Y7" i="2"/>
  <c r="X7" i="2"/>
  <c r="AJ7" i="2" s="1"/>
  <c r="AK7" i="2" s="1"/>
  <c r="W7" i="2"/>
  <c r="AA7" i="2" s="1"/>
  <c r="V7" i="2"/>
  <c r="I7" i="2"/>
  <c r="H7" i="2"/>
  <c r="E7" i="2"/>
  <c r="A7" i="2"/>
  <c r="AT6" i="2"/>
  <c r="AS6" i="2"/>
  <c r="AR6" i="2"/>
  <c r="AJ6" i="2"/>
  <c r="AK6" i="2" s="1"/>
  <c r="AH6" i="2"/>
  <c r="AC6" i="2"/>
  <c r="AB6" i="2"/>
  <c r="Z6" i="2"/>
  <c r="AD6" i="2" s="1"/>
  <c r="AQ6" i="2" s="1"/>
  <c r="X6" i="2"/>
  <c r="W6" i="2"/>
  <c r="V6" i="2"/>
  <c r="I6" i="2"/>
  <c r="H6" i="2"/>
  <c r="AI6" i="2" s="1"/>
  <c r="E6" i="2"/>
  <c r="Y6" i="2" s="1"/>
  <c r="AM6" i="2" s="1"/>
  <c r="A6" i="2"/>
  <c r="AS5" i="2"/>
  <c r="AR5" i="2"/>
  <c r="AJ5" i="2"/>
  <c r="AK5" i="2" s="1"/>
  <c r="AH5" i="2"/>
  <c r="AC5" i="2"/>
  <c r="AB5" i="2"/>
  <c r="Z5" i="2"/>
  <c r="AD5" i="2" s="1"/>
  <c r="AQ5" i="2" s="1"/>
  <c r="X5" i="2"/>
  <c r="W5" i="2"/>
  <c r="AA5" i="2" s="1"/>
  <c r="V5" i="2"/>
  <c r="I5" i="2"/>
  <c r="H5" i="2"/>
  <c r="AI5" i="2" s="1"/>
  <c r="E5" i="2"/>
  <c r="Y5" i="2" s="1"/>
  <c r="AM5" i="2" s="1"/>
  <c r="A5" i="2"/>
  <c r="AR4" i="2"/>
  <c r="AJ4" i="2"/>
  <c r="AK4" i="2" s="1"/>
  <c r="AH4" i="2"/>
  <c r="AM4" i="2" s="1"/>
  <c r="AC4" i="2"/>
  <c r="AB4" i="2"/>
  <c r="Z4" i="2"/>
  <c r="AD4" i="2" s="1"/>
  <c r="AQ4" i="2" s="1"/>
  <c r="X4" i="2"/>
  <c r="W4" i="2"/>
  <c r="V4" i="2"/>
  <c r="I4" i="2"/>
  <c r="H4" i="2"/>
  <c r="AI4" i="2" s="1"/>
  <c r="E4" i="2"/>
  <c r="Y4" i="2" s="1"/>
  <c r="A4" i="2"/>
  <c r="AR3" i="2"/>
  <c r="AK3" i="2"/>
  <c r="AJ3" i="2"/>
  <c r="AH3" i="2"/>
  <c r="AC3" i="2"/>
  <c r="AB3" i="2"/>
  <c r="AA3" i="2"/>
  <c r="Z3" i="2"/>
  <c r="AD3" i="2" s="1"/>
  <c r="AQ3" i="2" s="1"/>
  <c r="Y3" i="2"/>
  <c r="AM3" i="2" s="1"/>
  <c r="X3" i="2"/>
  <c r="W3" i="2"/>
  <c r="V3" i="2"/>
  <c r="I3" i="2"/>
  <c r="H3" i="2"/>
  <c r="E3" i="2"/>
  <c r="A3" i="2"/>
  <c r="AU2" i="2"/>
  <c r="AS2" i="2"/>
  <c r="AR2" i="2"/>
  <c r="AJ2" i="2"/>
  <c r="AK2" i="2" s="1"/>
  <c r="AH2" i="2"/>
  <c r="AM2" i="2" s="1"/>
  <c r="AD2" i="2"/>
  <c r="AC2" i="2"/>
  <c r="AB2" i="2"/>
  <c r="Z2" i="2"/>
  <c r="X2" i="2"/>
  <c r="W2" i="2"/>
  <c r="AA2" i="2" s="1"/>
  <c r="V2" i="2"/>
  <c r="I2" i="2"/>
  <c r="H2" i="2"/>
  <c r="E2" i="2"/>
  <c r="Y2" i="2" s="1"/>
  <c r="A2" i="2"/>
  <c r="L35" i="1"/>
  <c r="O34" i="1"/>
  <c r="N34" i="1"/>
  <c r="M34" i="1"/>
  <c r="L34" i="1"/>
  <c r="AE31" i="1"/>
  <c r="AC31" i="1"/>
  <c r="X31" i="1"/>
  <c r="W31" i="1"/>
  <c r="V31" i="1"/>
  <c r="U31" i="1"/>
  <c r="T31" i="1"/>
  <c r="AG31" i="1" s="1"/>
  <c r="AH31" i="1" s="1"/>
  <c r="AI31" i="1" s="1"/>
  <c r="S31" i="1"/>
  <c r="AF31" i="1" s="1"/>
  <c r="R31" i="1"/>
  <c r="Q31" i="1"/>
  <c r="AF30" i="1"/>
  <c r="AE30" i="1"/>
  <c r="AC30" i="1"/>
  <c r="Y30" i="1"/>
  <c r="AK30" i="1" s="1"/>
  <c r="X30" i="1"/>
  <c r="W30" i="1"/>
  <c r="V30" i="1"/>
  <c r="U30" i="1"/>
  <c r="T30" i="1"/>
  <c r="S30" i="1"/>
  <c r="R30" i="1"/>
  <c r="Q30" i="1"/>
  <c r="AE29" i="1"/>
  <c r="AC29" i="1"/>
  <c r="AG29" i="1" s="1"/>
  <c r="X29" i="1"/>
  <c r="W29" i="1"/>
  <c r="U29" i="1"/>
  <c r="T29" i="1"/>
  <c r="S29" i="1"/>
  <c r="AF29" i="1" s="1"/>
  <c r="R29" i="1"/>
  <c r="Q29" i="1"/>
  <c r="AC28" i="1"/>
  <c r="X28" i="1"/>
  <c r="W28" i="1"/>
  <c r="U28" i="1"/>
  <c r="T28" i="1"/>
  <c r="S28" i="1"/>
  <c r="Y28" i="1" s="1"/>
  <c r="AK28" i="1" s="1"/>
  <c r="R28" i="1"/>
  <c r="V28" i="1" s="1"/>
  <c r="Q28" i="1"/>
  <c r="AC27" i="1"/>
  <c r="X27" i="1"/>
  <c r="W27" i="1"/>
  <c r="U27" i="1"/>
  <c r="T27" i="1"/>
  <c r="S27" i="1"/>
  <c r="Y27" i="1" s="1"/>
  <c r="AK27" i="1" s="1"/>
  <c r="R27" i="1"/>
  <c r="V27" i="1" s="1"/>
  <c r="Q27" i="1"/>
  <c r="AC26" i="1"/>
  <c r="AG26" i="1" s="1"/>
  <c r="AH26" i="1" s="1"/>
  <c r="Y26" i="1"/>
  <c r="AK26" i="1" s="1"/>
  <c r="X26" i="1"/>
  <c r="W26" i="1"/>
  <c r="U26" i="1"/>
  <c r="T26" i="1"/>
  <c r="S26" i="1"/>
  <c r="AF26" i="1" s="1"/>
  <c r="R26" i="1"/>
  <c r="V26" i="1" s="1"/>
  <c r="Q26" i="1"/>
  <c r="AC25" i="1"/>
  <c r="AG25" i="1" s="1"/>
  <c r="AH25" i="1" s="1"/>
  <c r="Y25" i="1"/>
  <c r="AK25" i="1" s="1"/>
  <c r="X25" i="1"/>
  <c r="W25" i="1"/>
  <c r="U25" i="1"/>
  <c r="T25" i="1"/>
  <c r="S25" i="1"/>
  <c r="AF25" i="1" s="1"/>
  <c r="R25" i="1"/>
  <c r="V25" i="1" s="1"/>
  <c r="Q25" i="1"/>
  <c r="AC24" i="1"/>
  <c r="AG24" i="1" s="1"/>
  <c r="AH24" i="1" s="1"/>
  <c r="X24" i="1"/>
  <c r="W24" i="1"/>
  <c r="U24" i="1"/>
  <c r="Y24" i="1" s="1"/>
  <c r="AK24" i="1" s="1"/>
  <c r="T24" i="1"/>
  <c r="S24" i="1"/>
  <c r="AF24" i="1" s="1"/>
  <c r="R24" i="1"/>
  <c r="V24" i="1" s="1"/>
  <c r="Q24" i="1"/>
  <c r="AE23" i="1"/>
  <c r="AC23" i="1"/>
  <c r="Y23" i="1"/>
  <c r="AK23" i="1" s="1"/>
  <c r="X23" i="1"/>
  <c r="W23" i="1"/>
  <c r="V23" i="1"/>
  <c r="U23" i="1"/>
  <c r="T23" i="1"/>
  <c r="AG23" i="1" s="1"/>
  <c r="AH23" i="1" s="1"/>
  <c r="S23" i="1"/>
  <c r="AF23" i="1" s="1"/>
  <c r="R23" i="1"/>
  <c r="Q23" i="1"/>
  <c r="AF22" i="1"/>
  <c r="AC22" i="1"/>
  <c r="AE22" i="1" s="1"/>
  <c r="Y22" i="1"/>
  <c r="AK22" i="1" s="1"/>
  <c r="X22" i="1"/>
  <c r="W22" i="1"/>
  <c r="U22" i="1"/>
  <c r="T22" i="1"/>
  <c r="S22" i="1"/>
  <c r="R22" i="1"/>
  <c r="V22" i="1" s="1"/>
  <c r="Q22" i="1"/>
  <c r="AC21" i="1"/>
  <c r="AG21" i="1" s="1"/>
  <c r="AH21" i="1" s="1"/>
  <c r="Y21" i="1"/>
  <c r="AK21" i="1" s="1"/>
  <c r="X21" i="1"/>
  <c r="W21" i="1"/>
  <c r="U21" i="1"/>
  <c r="T21" i="1"/>
  <c r="S21" i="1"/>
  <c r="AF21" i="1" s="1"/>
  <c r="R21" i="1"/>
  <c r="V21" i="1" s="1"/>
  <c r="Q21" i="1"/>
  <c r="AC20" i="1"/>
  <c r="AG20" i="1" s="1"/>
  <c r="AH20" i="1" s="1"/>
  <c r="Y20" i="1"/>
  <c r="AK20" i="1" s="1"/>
  <c r="X20" i="1"/>
  <c r="W20" i="1"/>
  <c r="U20" i="1"/>
  <c r="T20" i="1"/>
  <c r="S20" i="1"/>
  <c r="AF20" i="1" s="1"/>
  <c r="R20" i="1"/>
  <c r="V20" i="1" s="1"/>
  <c r="Q20" i="1"/>
  <c r="AC19" i="1"/>
  <c r="AG19" i="1" s="1"/>
  <c r="AH19" i="1" s="1"/>
  <c r="Y19" i="1"/>
  <c r="AK19" i="1" s="1"/>
  <c r="X19" i="1"/>
  <c r="W19" i="1"/>
  <c r="U19" i="1"/>
  <c r="T19" i="1"/>
  <c r="S19" i="1"/>
  <c r="AF19" i="1" s="1"/>
  <c r="R19" i="1"/>
  <c r="V19" i="1" s="1"/>
  <c r="Q19" i="1"/>
  <c r="AK18" i="1"/>
  <c r="AG18" i="1"/>
  <c r="AH18" i="1" s="1"/>
  <c r="AC18" i="1"/>
  <c r="AE18" i="1" s="1"/>
  <c r="Y18" i="1"/>
  <c r="X18" i="1"/>
  <c r="W18" i="1"/>
  <c r="U18" i="1"/>
  <c r="T18" i="1"/>
  <c r="S18" i="1"/>
  <c r="AF18" i="1" s="1"/>
  <c r="R18" i="1"/>
  <c r="V18" i="1" s="1"/>
  <c r="Q18" i="1"/>
  <c r="AK17" i="1"/>
  <c r="AG17" i="1"/>
  <c r="AH17" i="1" s="1"/>
  <c r="AC17" i="1"/>
  <c r="AE17" i="1" s="1"/>
  <c r="Y17" i="1"/>
  <c r="X17" i="1"/>
  <c r="W17" i="1"/>
  <c r="U17" i="1"/>
  <c r="T17" i="1"/>
  <c r="S17" i="1"/>
  <c r="AF17" i="1" s="1"/>
  <c r="R17" i="1"/>
  <c r="V17" i="1" s="1"/>
  <c r="Q17" i="1"/>
  <c r="AC16" i="1"/>
  <c r="AE16" i="1" s="1"/>
  <c r="X16" i="1"/>
  <c r="W16" i="1"/>
  <c r="U16" i="1"/>
  <c r="Y16" i="1" s="1"/>
  <c r="AK16" i="1" s="1"/>
  <c r="T16" i="1"/>
  <c r="AG16" i="1" s="1"/>
  <c r="AH16" i="1" s="1"/>
  <c r="AI16" i="1" s="1"/>
  <c r="S16" i="1"/>
  <c r="AF16" i="1" s="1"/>
  <c r="R16" i="1"/>
  <c r="V16" i="1" s="1"/>
  <c r="Q16" i="1"/>
  <c r="AG15" i="1"/>
  <c r="AH15" i="1" s="1"/>
  <c r="AI15" i="1" s="1"/>
  <c r="AE15" i="1"/>
  <c r="AC15" i="1"/>
  <c r="Y15" i="1"/>
  <c r="AK15" i="1" s="1"/>
  <c r="X15" i="1"/>
  <c r="W15" i="1"/>
  <c r="U15" i="1"/>
  <c r="T15" i="1"/>
  <c r="S15" i="1"/>
  <c r="V15" i="1" s="1"/>
  <c r="R15" i="1"/>
  <c r="Q15" i="1"/>
  <c r="AK14" i="1"/>
  <c r="AF14" i="1"/>
  <c r="AC14" i="1"/>
  <c r="AE14" i="1" s="1"/>
  <c r="Y14" i="1"/>
  <c r="X14" i="1"/>
  <c r="W14" i="1"/>
  <c r="U14" i="1"/>
  <c r="T14" i="1"/>
  <c r="S14" i="1"/>
  <c r="R14" i="1"/>
  <c r="V14" i="1" s="1"/>
  <c r="Q14" i="1"/>
  <c r="AC13" i="1"/>
  <c r="AG13" i="1" s="1"/>
  <c r="AH13" i="1" s="1"/>
  <c r="Y13" i="1"/>
  <c r="AK13" i="1" s="1"/>
  <c r="X13" i="1"/>
  <c r="W13" i="1"/>
  <c r="U13" i="1"/>
  <c r="T13" i="1"/>
  <c r="S13" i="1"/>
  <c r="AF13" i="1" s="1"/>
  <c r="R13" i="1"/>
  <c r="V13" i="1" s="1"/>
  <c r="Q13" i="1"/>
  <c r="AH12" i="1"/>
  <c r="AC12" i="1"/>
  <c r="AG12" i="1" s="1"/>
  <c r="Y12" i="1"/>
  <c r="AK12" i="1" s="1"/>
  <c r="X12" i="1"/>
  <c r="W12" i="1"/>
  <c r="U12" i="1"/>
  <c r="T12" i="1"/>
  <c r="S12" i="1"/>
  <c r="AF12" i="1" s="1"/>
  <c r="R12" i="1"/>
  <c r="V12" i="1" s="1"/>
  <c r="Q12" i="1"/>
  <c r="AK11" i="1"/>
  <c r="AC11" i="1"/>
  <c r="AE11" i="1" s="1"/>
  <c r="Y11" i="1"/>
  <c r="X11" i="1"/>
  <c r="W11" i="1"/>
  <c r="U11" i="1"/>
  <c r="T11" i="1"/>
  <c r="AG11" i="1" s="1"/>
  <c r="AH11" i="1" s="1"/>
  <c r="S11" i="1"/>
  <c r="AF11" i="1" s="1"/>
  <c r="R11" i="1"/>
  <c r="V11" i="1" s="1"/>
  <c r="Q11" i="1"/>
  <c r="AK10" i="1"/>
  <c r="AF10" i="1"/>
  <c r="AC10" i="1"/>
  <c r="AG10" i="1" s="1"/>
  <c r="AH10" i="1" s="1"/>
  <c r="AI10" i="1" s="1"/>
  <c r="Y10" i="1"/>
  <c r="X10" i="1"/>
  <c r="W10" i="1"/>
  <c r="U10" i="1"/>
  <c r="T10" i="1"/>
  <c r="S10" i="1"/>
  <c r="R10" i="1"/>
  <c r="V10" i="1" s="1"/>
  <c r="Q10" i="1"/>
  <c r="AK9" i="1"/>
  <c r="AF9" i="1"/>
  <c r="AC9" i="1"/>
  <c r="AG9" i="1" s="1"/>
  <c r="AH9" i="1" s="1"/>
  <c r="AJ9" i="1" s="1"/>
  <c r="Y9" i="1"/>
  <c r="X9" i="1"/>
  <c r="W9" i="1"/>
  <c r="U9" i="1"/>
  <c r="T9" i="1"/>
  <c r="S9" i="1"/>
  <c r="R9" i="1"/>
  <c r="V9" i="1" s="1"/>
  <c r="Q9" i="1"/>
  <c r="AJ8" i="1"/>
  <c r="AI8" i="1"/>
  <c r="AC8" i="1"/>
  <c r="AG8" i="1" s="1"/>
  <c r="AH8" i="1" s="1"/>
  <c r="X8" i="1"/>
  <c r="W8" i="1"/>
  <c r="V8" i="1"/>
  <c r="U8" i="1"/>
  <c r="T8" i="1"/>
  <c r="S8" i="1"/>
  <c r="AF8" i="1" s="1"/>
  <c r="R8" i="1"/>
  <c r="Q8" i="1"/>
  <c r="AF7" i="1"/>
  <c r="AE7" i="1"/>
  <c r="AC7" i="1"/>
  <c r="Y7" i="1"/>
  <c r="AK7" i="1" s="1"/>
  <c r="X7" i="1"/>
  <c r="W7" i="1"/>
  <c r="V7" i="1"/>
  <c r="U7" i="1"/>
  <c r="T7" i="1"/>
  <c r="AG7" i="1" s="1"/>
  <c r="AH7" i="1" s="1"/>
  <c r="AJ7" i="1" s="1"/>
  <c r="S7" i="1"/>
  <c r="R7" i="1"/>
  <c r="Q7" i="1"/>
  <c r="AK6" i="1"/>
  <c r="AF6" i="1"/>
  <c r="AC6" i="1"/>
  <c r="AE6" i="1" s="1"/>
  <c r="Y6" i="1"/>
  <c r="X6" i="1"/>
  <c r="W6" i="1"/>
  <c r="U6" i="1"/>
  <c r="T6" i="1"/>
  <c r="AG6" i="1" s="1"/>
  <c r="AH6" i="1" s="1"/>
  <c r="AI6" i="1" s="1"/>
  <c r="S6" i="1"/>
  <c r="R6" i="1"/>
  <c r="V6" i="1" s="1"/>
  <c r="Q6" i="1"/>
  <c r="AK5" i="1"/>
  <c r="AJ5" i="1"/>
  <c r="AG5" i="1"/>
  <c r="AH5" i="1" s="1"/>
  <c r="AI5" i="1" s="1"/>
  <c r="AC5" i="1"/>
  <c r="AE5" i="1" s="1"/>
  <c r="Y5" i="1"/>
  <c r="X5" i="1"/>
  <c r="W5" i="1"/>
  <c r="U5" i="1"/>
  <c r="T5" i="1"/>
  <c r="S5" i="1"/>
  <c r="AF5" i="1" s="1"/>
  <c r="R5" i="1"/>
  <c r="V5" i="1" s="1"/>
  <c r="Q5" i="1"/>
  <c r="AK4" i="1"/>
  <c r="AF4" i="1"/>
  <c r="AC4" i="1"/>
  <c r="Y4" i="1"/>
  <c r="X4" i="1"/>
  <c r="W4" i="1"/>
  <c r="W34" i="1" s="1"/>
  <c r="U4" i="1"/>
  <c r="T4" i="1"/>
  <c r="S4" i="1"/>
  <c r="R4" i="1"/>
  <c r="V4" i="1" s="1"/>
  <c r="Q4" i="1"/>
  <c r="AK3" i="1"/>
  <c r="AJ3" i="1"/>
  <c r="AC3" i="1"/>
  <c r="AG3" i="1" s="1"/>
  <c r="AH3" i="1" s="1"/>
  <c r="AI3" i="1" s="1"/>
  <c r="Y3" i="1"/>
  <c r="X3" i="1"/>
  <c r="W3" i="1"/>
  <c r="U3" i="1"/>
  <c r="T3" i="1"/>
  <c r="S3" i="1"/>
  <c r="AF3" i="1" s="1"/>
  <c r="R3" i="1"/>
  <c r="Q3" i="1"/>
  <c r="AH2" i="1"/>
  <c r="AI2" i="1" s="1"/>
  <c r="AG2" i="1"/>
  <c r="AE2" i="1"/>
  <c r="AC2" i="1"/>
  <c r="X2" i="1"/>
  <c r="W2" i="1"/>
  <c r="V2" i="1"/>
  <c r="U2" i="1"/>
  <c r="T2" i="1"/>
  <c r="S2" i="1"/>
  <c r="S34" i="1" s="1"/>
  <c r="R2" i="1"/>
  <c r="Q2" i="1"/>
  <c r="O36" i="17"/>
  <c r="AC32" i="17" s="1"/>
  <c r="N36" i="17"/>
  <c r="M36" i="17"/>
  <c r="AA30" i="17" s="1"/>
  <c r="AO30" i="17" s="1"/>
  <c r="L36" i="17"/>
  <c r="K36" i="17"/>
  <c r="J36" i="17"/>
  <c r="I36" i="17"/>
  <c r="H36" i="17"/>
  <c r="G36" i="17"/>
  <c r="F36" i="17"/>
  <c r="E36" i="17"/>
  <c r="S28" i="17" s="1"/>
  <c r="AG28" i="17" s="1"/>
  <c r="D36" i="17"/>
  <c r="C36" i="17"/>
  <c r="B36" i="17"/>
  <c r="O34" i="17"/>
  <c r="N34" i="17"/>
  <c r="AB31" i="17" s="1"/>
  <c r="M34" i="17"/>
  <c r="L34" i="17"/>
  <c r="K34" i="17"/>
  <c r="Y30" i="17" s="1"/>
  <c r="AM30" i="17" s="1"/>
  <c r="J34" i="17"/>
  <c r="X5" i="17" s="1"/>
  <c r="AL5" i="17" s="1"/>
  <c r="I34" i="17"/>
  <c r="W29" i="17" s="1"/>
  <c r="AK29" i="17" s="1"/>
  <c r="H34" i="17"/>
  <c r="G34" i="17"/>
  <c r="F34" i="17"/>
  <c r="E34" i="17"/>
  <c r="D34" i="17"/>
  <c r="C34" i="17"/>
  <c r="Q12" i="17" s="1"/>
  <c r="AE12" i="17" s="1"/>
  <c r="B34" i="17"/>
  <c r="P6" i="17" s="1"/>
  <c r="AD6" i="17" s="1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Q32" i="17"/>
  <c r="Z32" i="17"/>
  <c r="AN32" i="17" s="1"/>
  <c r="Y32" i="17"/>
  <c r="AM32" i="17" s="1"/>
  <c r="V32" i="17"/>
  <c r="AJ32" i="17" s="1"/>
  <c r="R32" i="17"/>
  <c r="AF32" i="17" s="1"/>
  <c r="AP31" i="17"/>
  <c r="AC31" i="17"/>
  <c r="AQ31" i="17" s="1"/>
  <c r="Z31" i="17"/>
  <c r="AN31" i="17" s="1"/>
  <c r="V31" i="17"/>
  <c r="AJ31" i="17" s="1"/>
  <c r="U31" i="17"/>
  <c r="AI31" i="17" s="1"/>
  <c r="R31" i="17"/>
  <c r="AF31" i="17" s="1"/>
  <c r="Z30" i="17"/>
  <c r="AN30" i="17" s="1"/>
  <c r="V30" i="17"/>
  <c r="AJ30" i="17" s="1"/>
  <c r="R30" i="17"/>
  <c r="AF30" i="17" s="1"/>
  <c r="Q30" i="17"/>
  <c r="AE30" i="17" s="1"/>
  <c r="AC29" i="17"/>
  <c r="AQ29" i="17" s="1"/>
  <c r="Z29" i="17"/>
  <c r="AN29" i="17" s="1"/>
  <c r="V29" i="17"/>
  <c r="AJ29" i="17" s="1"/>
  <c r="R29" i="17"/>
  <c r="AF29" i="17" s="1"/>
  <c r="Z28" i="17"/>
  <c r="AN28" i="17" s="1"/>
  <c r="Y28" i="17"/>
  <c r="AM28" i="17" s="1"/>
  <c r="V28" i="17"/>
  <c r="AJ28" i="17" s="1"/>
  <c r="R28" i="17"/>
  <c r="AF28" i="17" s="1"/>
  <c r="AC27" i="17"/>
  <c r="AQ27" i="17" s="1"/>
  <c r="Z27" i="17"/>
  <c r="AN27" i="17" s="1"/>
  <c r="V27" i="17"/>
  <c r="AJ27" i="17" s="1"/>
  <c r="U27" i="17"/>
  <c r="AI27" i="17" s="1"/>
  <c r="R27" i="17"/>
  <c r="AF27" i="17" s="1"/>
  <c r="Z26" i="17"/>
  <c r="AN26" i="17" s="1"/>
  <c r="V26" i="17"/>
  <c r="AJ26" i="17" s="1"/>
  <c r="R26" i="17"/>
  <c r="AF26" i="17" s="1"/>
  <c r="Q26" i="17"/>
  <c r="AE26" i="17" s="1"/>
  <c r="AC25" i="17"/>
  <c r="AQ25" i="17" s="1"/>
  <c r="Z25" i="17"/>
  <c r="AN25" i="17" s="1"/>
  <c r="V25" i="17"/>
  <c r="AJ25" i="17" s="1"/>
  <c r="R25" i="17"/>
  <c r="AF25" i="17" s="1"/>
  <c r="Z24" i="17"/>
  <c r="AN24" i="17" s="1"/>
  <c r="Y24" i="17"/>
  <c r="AM24" i="17" s="1"/>
  <c r="V24" i="17"/>
  <c r="AJ24" i="17" s="1"/>
  <c r="R24" i="17"/>
  <c r="AF24" i="17" s="1"/>
  <c r="AC23" i="17"/>
  <c r="AQ23" i="17" s="1"/>
  <c r="Z23" i="17"/>
  <c r="AN23" i="17" s="1"/>
  <c r="V23" i="17"/>
  <c r="AJ23" i="17" s="1"/>
  <c r="U23" i="17"/>
  <c r="AI23" i="17" s="1"/>
  <c r="R23" i="17"/>
  <c r="AF23" i="17" s="1"/>
  <c r="Z22" i="17"/>
  <c r="AN22" i="17" s="1"/>
  <c r="V22" i="17"/>
  <c r="AJ22" i="17" s="1"/>
  <c r="R22" i="17"/>
  <c r="AF22" i="17" s="1"/>
  <c r="Q22" i="17"/>
  <c r="AE22" i="17" s="1"/>
  <c r="AC21" i="17"/>
  <c r="AQ21" i="17" s="1"/>
  <c r="Z21" i="17"/>
  <c r="AN21" i="17" s="1"/>
  <c r="V21" i="17"/>
  <c r="AJ21" i="17" s="1"/>
  <c r="R21" i="17"/>
  <c r="AF21" i="17" s="1"/>
  <c r="Z20" i="17"/>
  <c r="AN20" i="17" s="1"/>
  <c r="Y20" i="17"/>
  <c r="AM20" i="17" s="1"/>
  <c r="V20" i="17"/>
  <c r="AJ20" i="17" s="1"/>
  <c r="R20" i="17"/>
  <c r="AF20" i="17" s="1"/>
  <c r="AC19" i="17"/>
  <c r="AQ19" i="17" s="1"/>
  <c r="Z19" i="17"/>
  <c r="AN19" i="17" s="1"/>
  <c r="V19" i="17"/>
  <c r="AJ19" i="17" s="1"/>
  <c r="U19" i="17"/>
  <c r="AI19" i="17" s="1"/>
  <c r="R19" i="17"/>
  <c r="AF19" i="17" s="1"/>
  <c r="Z18" i="17"/>
  <c r="AN18" i="17" s="1"/>
  <c r="V18" i="17"/>
  <c r="AJ18" i="17" s="1"/>
  <c r="R18" i="17"/>
  <c r="AF18" i="17" s="1"/>
  <c r="Q18" i="17"/>
  <c r="AE18" i="17" s="1"/>
  <c r="AC17" i="17"/>
  <c r="AQ17" i="17" s="1"/>
  <c r="Z17" i="17"/>
  <c r="AN17" i="17" s="1"/>
  <c r="V17" i="17"/>
  <c r="AJ17" i="17" s="1"/>
  <c r="R17" i="17"/>
  <c r="AF17" i="17" s="1"/>
  <c r="Z16" i="17"/>
  <c r="AN16" i="17" s="1"/>
  <c r="Y16" i="17"/>
  <c r="AM16" i="17" s="1"/>
  <c r="V16" i="17"/>
  <c r="AJ16" i="17" s="1"/>
  <c r="R16" i="17"/>
  <c r="AF16" i="17" s="1"/>
  <c r="AC15" i="17"/>
  <c r="AQ15" i="17" s="1"/>
  <c r="Z15" i="17"/>
  <c r="AN15" i="17" s="1"/>
  <c r="V15" i="17"/>
  <c r="AJ15" i="17" s="1"/>
  <c r="U15" i="17"/>
  <c r="AI15" i="17" s="1"/>
  <c r="R15" i="17"/>
  <c r="AF15" i="17" s="1"/>
  <c r="Z14" i="17"/>
  <c r="AN14" i="17" s="1"/>
  <c r="V14" i="17"/>
  <c r="AJ14" i="17" s="1"/>
  <c r="R14" i="17"/>
  <c r="AF14" i="17" s="1"/>
  <c r="Q14" i="17"/>
  <c r="AE14" i="17" s="1"/>
  <c r="AC13" i="17"/>
  <c r="AQ13" i="17" s="1"/>
  <c r="Z13" i="17"/>
  <c r="AN13" i="17" s="1"/>
  <c r="V13" i="17"/>
  <c r="AJ13" i="17" s="1"/>
  <c r="R13" i="17"/>
  <c r="AF13" i="17" s="1"/>
  <c r="Z12" i="17"/>
  <c r="AN12" i="17" s="1"/>
  <c r="Y12" i="17"/>
  <c r="AM12" i="17" s="1"/>
  <c r="V12" i="17"/>
  <c r="AJ12" i="17" s="1"/>
  <c r="R12" i="17"/>
  <c r="AF12" i="17" s="1"/>
  <c r="AC11" i="17"/>
  <c r="AQ11" i="17" s="1"/>
  <c r="Z11" i="17"/>
  <c r="AN11" i="17" s="1"/>
  <c r="V11" i="17"/>
  <c r="AJ11" i="17" s="1"/>
  <c r="U11" i="17"/>
  <c r="AI11" i="17" s="1"/>
  <c r="R11" i="17"/>
  <c r="AF11" i="17" s="1"/>
  <c r="Z10" i="17"/>
  <c r="AN10" i="17" s="1"/>
  <c r="V10" i="17"/>
  <c r="AJ10" i="17" s="1"/>
  <c r="R10" i="17"/>
  <c r="AF10" i="17" s="1"/>
  <c r="Q10" i="17"/>
  <c r="AE10" i="17" s="1"/>
  <c r="AC9" i="17"/>
  <c r="AQ9" i="17" s="1"/>
  <c r="AB9" i="17"/>
  <c r="AP9" i="17" s="1"/>
  <c r="Z9" i="17"/>
  <c r="AN9" i="17" s="1"/>
  <c r="V9" i="17"/>
  <c r="AJ9" i="17" s="1"/>
  <c r="R9" i="17"/>
  <c r="AF9" i="17" s="1"/>
  <c r="Z8" i="17"/>
  <c r="AN8" i="17" s="1"/>
  <c r="V8" i="17"/>
  <c r="AJ8" i="17" s="1"/>
  <c r="S8" i="17"/>
  <c r="AG8" i="17" s="1"/>
  <c r="R8" i="17"/>
  <c r="AF8" i="17" s="1"/>
  <c r="AC7" i="17"/>
  <c r="AQ7" i="17" s="1"/>
  <c r="AB7" i="17"/>
  <c r="AP7" i="17" s="1"/>
  <c r="Z7" i="17"/>
  <c r="AN7" i="17" s="1"/>
  <c r="V7" i="17"/>
  <c r="AJ7" i="17" s="1"/>
  <c r="U7" i="17"/>
  <c r="AI7" i="17" s="1"/>
  <c r="R7" i="17"/>
  <c r="AF7" i="17" s="1"/>
  <c r="Z6" i="17"/>
  <c r="AN6" i="17" s="1"/>
  <c r="Y6" i="17"/>
  <c r="AM6" i="17" s="1"/>
  <c r="X6" i="17"/>
  <c r="AL6" i="17" s="1"/>
  <c r="V6" i="17"/>
  <c r="AJ6" i="17" s="1"/>
  <c r="R6" i="17"/>
  <c r="AF6" i="17" s="1"/>
  <c r="AC5" i="17"/>
  <c r="AQ5" i="17" s="1"/>
  <c r="AB5" i="17"/>
  <c r="AP5" i="17" s="1"/>
  <c r="Z5" i="17"/>
  <c r="AN5" i="17" s="1"/>
  <c r="V5" i="17"/>
  <c r="AJ5" i="17" s="1"/>
  <c r="R5" i="17"/>
  <c r="AF5" i="17" s="1"/>
  <c r="P5" i="17"/>
  <c r="AD5" i="17" s="1"/>
  <c r="AJ4" i="17"/>
  <c r="AB4" i="17"/>
  <c r="AP4" i="17" s="1"/>
  <c r="Z4" i="17"/>
  <c r="AN4" i="17" s="1"/>
  <c r="Y4" i="17"/>
  <c r="AM4" i="17" s="1"/>
  <c r="X4" i="17"/>
  <c r="AL4" i="17" s="1"/>
  <c r="V4" i="17"/>
  <c r="R4" i="17"/>
  <c r="AF4" i="17" s="1"/>
  <c r="AP3" i="17"/>
  <c r="AN3" i="17"/>
  <c r="L35" i="17" s="1"/>
  <c r="AF3" i="17"/>
  <c r="AC3" i="17"/>
  <c r="AQ3" i="17" s="1"/>
  <c r="AB3" i="17"/>
  <c r="Z3" i="17"/>
  <c r="V3" i="17"/>
  <c r="AJ3" i="17" s="1"/>
  <c r="U3" i="17"/>
  <c r="AI3" i="17" s="1"/>
  <c r="T3" i="17"/>
  <c r="AH3" i="17" s="1"/>
  <c r="R3" i="17"/>
  <c r="H35" i="17" l="1"/>
  <c r="AL5" i="2"/>
  <c r="AN5" i="2"/>
  <c r="D35" i="17"/>
  <c r="AL30" i="2"/>
  <c r="AN30" i="2"/>
  <c r="U32" i="17"/>
  <c r="AI32" i="17" s="1"/>
  <c r="U30" i="17"/>
  <c r="AI30" i="17" s="1"/>
  <c r="U28" i="17"/>
  <c r="AI28" i="17" s="1"/>
  <c r="U26" i="17"/>
  <c r="AI26" i="17" s="1"/>
  <c r="U24" i="17"/>
  <c r="AI24" i="17" s="1"/>
  <c r="U22" i="17"/>
  <c r="AI22" i="17" s="1"/>
  <c r="U20" i="17"/>
  <c r="AI20" i="17" s="1"/>
  <c r="U18" i="17"/>
  <c r="AI18" i="17" s="1"/>
  <c r="U16" i="17"/>
  <c r="AI16" i="17" s="1"/>
  <c r="U14" i="17"/>
  <c r="AI14" i="17" s="1"/>
  <c r="U12" i="17"/>
  <c r="AI12" i="17" s="1"/>
  <c r="U10" i="17"/>
  <c r="AI10" i="17" s="1"/>
  <c r="U8" i="17"/>
  <c r="AI8" i="17" s="1"/>
  <c r="U6" i="17"/>
  <c r="AI6" i="17" s="1"/>
  <c r="U4" i="17"/>
  <c r="AI4" i="17" s="1"/>
  <c r="X34" i="1"/>
  <c r="AI9" i="1"/>
  <c r="V32" i="2"/>
  <c r="AD21" i="2"/>
  <c r="AQ21" i="2" s="1"/>
  <c r="AA21" i="2"/>
  <c r="AJ21" i="2"/>
  <c r="AK21" i="2" s="1"/>
  <c r="AN23" i="2"/>
  <c r="AL23" i="2"/>
  <c r="AN29" i="2"/>
  <c r="AL29" i="2"/>
  <c r="AL2" i="3"/>
  <c r="AK11" i="3"/>
  <c r="AO9" i="5"/>
  <c r="AM9" i="5"/>
  <c r="AJ4" i="11"/>
  <c r="AI4" i="11"/>
  <c r="AJ12" i="1"/>
  <c r="AI18" i="1"/>
  <c r="AJ18" i="1"/>
  <c r="AA4" i="2"/>
  <c r="AN6" i="2"/>
  <c r="AL6" i="2"/>
  <c r="AN19" i="2"/>
  <c r="AN21" i="2"/>
  <c r="AL21" i="2"/>
  <c r="AK12" i="3"/>
  <c r="AL12" i="3"/>
  <c r="AI22" i="3"/>
  <c r="AJ22" i="3" s="1"/>
  <c r="AG22" i="3"/>
  <c r="AK28" i="3"/>
  <c r="AL28" i="3"/>
  <c r="AP19" i="5"/>
  <c r="AQ19" i="5"/>
  <c r="AQ28" i="7"/>
  <c r="AP28" i="7"/>
  <c r="AM28" i="7"/>
  <c r="AO2" i="9"/>
  <c r="AM2" i="9"/>
  <c r="P10" i="17"/>
  <c r="AD10" i="17" s="1"/>
  <c r="P7" i="17"/>
  <c r="AD7" i="17" s="1"/>
  <c r="V29" i="1"/>
  <c r="AH29" i="1"/>
  <c r="AN2" i="2"/>
  <c r="AL2" i="2"/>
  <c r="AL27" i="3"/>
  <c r="AK27" i="3"/>
  <c r="AO12" i="5"/>
  <c r="AM12" i="5"/>
  <c r="P4" i="17"/>
  <c r="AD4" i="17" s="1"/>
  <c r="W7" i="17"/>
  <c r="AK7" i="17" s="1"/>
  <c r="S14" i="17"/>
  <c r="AG14" i="17" s="1"/>
  <c r="W15" i="17"/>
  <c r="AK15" i="17" s="1"/>
  <c r="AA16" i="17"/>
  <c r="AO16" i="17" s="1"/>
  <c r="S18" i="17"/>
  <c r="AG18" i="17" s="1"/>
  <c r="W19" i="17"/>
  <c r="AK19" i="17" s="1"/>
  <c r="AA20" i="17"/>
  <c r="AO20" i="17" s="1"/>
  <c r="S26" i="17"/>
  <c r="AG26" i="17" s="1"/>
  <c r="W27" i="17"/>
  <c r="AK27" i="17" s="1"/>
  <c r="AA28" i="17"/>
  <c r="AO28" i="17" s="1"/>
  <c r="W31" i="17"/>
  <c r="AK31" i="17" s="1"/>
  <c r="AA4" i="17"/>
  <c r="AO4" i="17" s="1"/>
  <c r="U5" i="17"/>
  <c r="AI5" i="17" s="1"/>
  <c r="G35" i="17" s="1"/>
  <c r="AA6" i="17"/>
  <c r="AO6" i="17" s="1"/>
  <c r="X8" i="17"/>
  <c r="AL8" i="17" s="1"/>
  <c r="U9" i="17"/>
  <c r="AI9" i="17" s="1"/>
  <c r="Q34" i="1"/>
  <c r="Y8" i="17"/>
  <c r="AM8" i="17" s="1"/>
  <c r="Y10" i="17"/>
  <c r="AM10" i="17" s="1"/>
  <c r="U13" i="17"/>
  <c r="AI13" i="17" s="1"/>
  <c r="U21" i="17"/>
  <c r="AI21" i="17" s="1"/>
  <c r="AD10" i="2"/>
  <c r="AQ10" i="2" s="1"/>
  <c r="AA10" i="2"/>
  <c r="AJ10" i="2"/>
  <c r="AK10" i="2" s="1"/>
  <c r="AN15" i="2"/>
  <c r="AL15" i="2"/>
  <c r="AJ7" i="3"/>
  <c r="AM29" i="5"/>
  <c r="AO29" i="5"/>
  <c r="AN23" i="6"/>
  <c r="AL23" i="6"/>
  <c r="S4" i="17"/>
  <c r="AG4" i="17" s="1"/>
  <c r="W5" i="17"/>
  <c r="AK5" i="17" s="1"/>
  <c r="W9" i="17"/>
  <c r="AK9" i="17" s="1"/>
  <c r="P32" i="17"/>
  <c r="AD32" i="17" s="1"/>
  <c r="X32" i="17"/>
  <c r="AL32" i="17" s="1"/>
  <c r="AJ6" i="1"/>
  <c r="AJ13" i="1"/>
  <c r="AI13" i="1"/>
  <c r="AJ15" i="1"/>
  <c r="AJ19" i="1"/>
  <c r="AI19" i="1"/>
  <c r="AJ23" i="1"/>
  <c r="AI23" i="1"/>
  <c r="AJ24" i="1"/>
  <c r="AI24" i="1"/>
  <c r="AN3" i="2"/>
  <c r="AL3" i="2"/>
  <c r="AN8" i="2"/>
  <c r="AL8" i="2"/>
  <c r="AL13" i="2"/>
  <c r="AN13" i="2"/>
  <c r="V33" i="6"/>
  <c r="K5" i="7"/>
  <c r="AB5" i="7"/>
  <c r="AO6" i="7"/>
  <c r="AM6" i="7"/>
  <c r="AB9" i="7"/>
  <c r="AJ9" i="7"/>
  <c r="Q31" i="17"/>
  <c r="AE31" i="17" s="1"/>
  <c r="Q29" i="17"/>
  <c r="AE29" i="17" s="1"/>
  <c r="Q27" i="17"/>
  <c r="AE27" i="17" s="1"/>
  <c r="Q25" i="17"/>
  <c r="AE25" i="17" s="1"/>
  <c r="Q23" i="17"/>
  <c r="AE23" i="17" s="1"/>
  <c r="Q21" i="17"/>
  <c r="AE21" i="17" s="1"/>
  <c r="Q19" i="17"/>
  <c r="AE19" i="17" s="1"/>
  <c r="Q17" i="17"/>
  <c r="AE17" i="17" s="1"/>
  <c r="Q15" i="17"/>
  <c r="AE15" i="17" s="1"/>
  <c r="Q13" i="17"/>
  <c r="AE13" i="17" s="1"/>
  <c r="Q11" i="17"/>
  <c r="AE11" i="17" s="1"/>
  <c r="Q9" i="17"/>
  <c r="AE9" i="17" s="1"/>
  <c r="Q7" i="17"/>
  <c r="AE7" i="17" s="1"/>
  <c r="Q5" i="17"/>
  <c r="AE5" i="17" s="1"/>
  <c r="Q3" i="17"/>
  <c r="AE3" i="17" s="1"/>
  <c r="P3" i="17"/>
  <c r="AD3" i="17" s="1"/>
  <c r="S32" i="17"/>
  <c r="AG32" i="17" s="1"/>
  <c r="T31" i="17"/>
  <c r="AH31" i="17" s="1"/>
  <c r="T29" i="17"/>
  <c r="AH29" i="17" s="1"/>
  <c r="T27" i="17"/>
  <c r="AH27" i="17" s="1"/>
  <c r="T25" i="17"/>
  <c r="AH25" i="17" s="1"/>
  <c r="T23" i="17"/>
  <c r="AH23" i="17" s="1"/>
  <c r="T21" i="17"/>
  <c r="AH21" i="17" s="1"/>
  <c r="T19" i="17"/>
  <c r="AH19" i="17" s="1"/>
  <c r="T17" i="17"/>
  <c r="AH17" i="17" s="1"/>
  <c r="T15" i="17"/>
  <c r="AH15" i="17" s="1"/>
  <c r="T13" i="17"/>
  <c r="AH13" i="17" s="1"/>
  <c r="T11" i="17"/>
  <c r="AH11" i="17" s="1"/>
  <c r="T24" i="17"/>
  <c r="AH24" i="17" s="1"/>
  <c r="T22" i="17"/>
  <c r="AH22" i="17" s="1"/>
  <c r="T20" i="17"/>
  <c r="AH20" i="17" s="1"/>
  <c r="T14" i="17"/>
  <c r="AH14" i="17" s="1"/>
  <c r="T12" i="17"/>
  <c r="AH12" i="17" s="1"/>
  <c r="T10" i="17"/>
  <c r="AH10" i="17" s="1"/>
  <c r="T6" i="17"/>
  <c r="AH6" i="17" s="1"/>
  <c r="T32" i="17"/>
  <c r="AH32" i="17" s="1"/>
  <c r="T30" i="17"/>
  <c r="AH30" i="17" s="1"/>
  <c r="T28" i="17"/>
  <c r="AH28" i="17" s="1"/>
  <c r="T26" i="17"/>
  <c r="AH26" i="17" s="1"/>
  <c r="T18" i="17"/>
  <c r="AH18" i="17" s="1"/>
  <c r="T16" i="17"/>
  <c r="AH16" i="17" s="1"/>
  <c r="T8" i="17"/>
  <c r="AH8" i="17" s="1"/>
  <c r="AL17" i="2"/>
  <c r="AN17" i="2"/>
  <c r="AQ5" i="5"/>
  <c r="AP5" i="5"/>
  <c r="AN13" i="8"/>
  <c r="AL13" i="8"/>
  <c r="T5" i="17"/>
  <c r="AH5" i="17" s="1"/>
  <c r="T9" i="17"/>
  <c r="AH9" i="17" s="1"/>
  <c r="S10" i="17"/>
  <c r="AG10" i="17" s="1"/>
  <c r="W11" i="17"/>
  <c r="AK11" i="17" s="1"/>
  <c r="AA12" i="17"/>
  <c r="AO12" i="17" s="1"/>
  <c r="S22" i="17"/>
  <c r="AG22" i="17" s="1"/>
  <c r="W23" i="17"/>
  <c r="AK23" i="17" s="1"/>
  <c r="AA24" i="17"/>
  <c r="AO24" i="17" s="1"/>
  <c r="S30" i="17"/>
  <c r="AG30" i="17" s="1"/>
  <c r="AA32" i="17"/>
  <c r="AO32" i="17" s="1"/>
  <c r="Y31" i="17"/>
  <c r="AM31" i="17" s="1"/>
  <c r="Y29" i="17"/>
  <c r="AM29" i="17" s="1"/>
  <c r="Y27" i="17"/>
  <c r="AM27" i="17" s="1"/>
  <c r="Y25" i="17"/>
  <c r="AM25" i="17" s="1"/>
  <c r="Y23" i="17"/>
  <c r="AM23" i="17" s="1"/>
  <c r="Y21" i="17"/>
  <c r="AM21" i="17" s="1"/>
  <c r="Y19" i="17"/>
  <c r="AM19" i="17" s="1"/>
  <c r="Y17" i="17"/>
  <c r="AM17" i="17" s="1"/>
  <c r="Y15" i="17"/>
  <c r="AM15" i="17" s="1"/>
  <c r="Y13" i="17"/>
  <c r="AM13" i="17" s="1"/>
  <c r="Y11" i="17"/>
  <c r="AM11" i="17" s="1"/>
  <c r="Y9" i="17"/>
  <c r="AM9" i="17" s="1"/>
  <c r="Y7" i="17"/>
  <c r="AM7" i="17" s="1"/>
  <c r="Y5" i="17"/>
  <c r="AM5" i="17" s="1"/>
  <c r="Y3" i="17"/>
  <c r="AM3" i="17" s="1"/>
  <c r="W3" i="17"/>
  <c r="AK3" i="17" s="1"/>
  <c r="Q4" i="17"/>
  <c r="AE4" i="17" s="1"/>
  <c r="AI7" i="1"/>
  <c r="AJ11" i="1"/>
  <c r="AI11" i="1"/>
  <c r="X3" i="17"/>
  <c r="AL3" i="17" s="1"/>
  <c r="Q6" i="17"/>
  <c r="AE6" i="17" s="1"/>
  <c r="Y14" i="17"/>
  <c r="AM14" i="17" s="1"/>
  <c r="Q16" i="17"/>
  <c r="AE16" i="17" s="1"/>
  <c r="U17" i="17"/>
  <c r="AI17" i="17" s="1"/>
  <c r="Y18" i="17"/>
  <c r="AM18" i="17" s="1"/>
  <c r="Q20" i="17"/>
  <c r="AE20" i="17" s="1"/>
  <c r="Y22" i="17"/>
  <c r="AM22" i="17" s="1"/>
  <c r="Q24" i="17"/>
  <c r="AE24" i="17" s="1"/>
  <c r="U25" i="17"/>
  <c r="AI25" i="17" s="1"/>
  <c r="Y26" i="17"/>
  <c r="AM26" i="17" s="1"/>
  <c r="Q28" i="17"/>
  <c r="AE28" i="17" s="1"/>
  <c r="U29" i="17"/>
  <c r="AI29" i="17" s="1"/>
  <c r="Q32" i="17"/>
  <c r="AE32" i="17" s="1"/>
  <c r="AL21" i="3"/>
  <c r="AK21" i="3"/>
  <c r="T4" i="17"/>
  <c r="AH4" i="17" s="1"/>
  <c r="F35" i="17" s="1"/>
  <c r="S6" i="17"/>
  <c r="AG6" i="17" s="1"/>
  <c r="P8" i="17"/>
  <c r="AD8" i="17" s="1"/>
  <c r="AA8" i="17"/>
  <c r="AO8" i="17" s="1"/>
  <c r="AA10" i="17"/>
  <c r="AO10" i="17" s="1"/>
  <c r="S12" i="17"/>
  <c r="AG12" i="17" s="1"/>
  <c r="W13" i="17"/>
  <c r="AK13" i="17" s="1"/>
  <c r="AA14" i="17"/>
  <c r="AO14" i="17" s="1"/>
  <c r="S16" i="17"/>
  <c r="AG16" i="17" s="1"/>
  <c r="W17" i="17"/>
  <c r="AK17" i="17" s="1"/>
  <c r="AA18" i="17"/>
  <c r="AO18" i="17" s="1"/>
  <c r="S20" i="17"/>
  <c r="AG20" i="17" s="1"/>
  <c r="W21" i="17"/>
  <c r="AK21" i="17" s="1"/>
  <c r="AA22" i="17"/>
  <c r="AO22" i="17" s="1"/>
  <c r="S24" i="17"/>
  <c r="AG24" i="17" s="1"/>
  <c r="W25" i="17"/>
  <c r="AK25" i="17" s="1"/>
  <c r="AA26" i="17"/>
  <c r="AO26" i="17" s="1"/>
  <c r="AJ10" i="1"/>
  <c r="AJ16" i="1"/>
  <c r="AJ20" i="1"/>
  <c r="AI20" i="1"/>
  <c r="AJ25" i="1"/>
  <c r="AI25" i="1"/>
  <c r="AM7" i="2"/>
  <c r="AI7" i="2"/>
  <c r="AA14" i="2"/>
  <c r="AN14" i="2"/>
  <c r="AN18" i="2"/>
  <c r="AL18" i="2"/>
  <c r="AL20" i="2"/>
  <c r="AN20" i="2"/>
  <c r="W32" i="2"/>
  <c r="AL3" i="3"/>
  <c r="AK3" i="3"/>
  <c r="AP26" i="5"/>
  <c r="AQ26" i="5"/>
  <c r="AO3" i="7"/>
  <c r="AM3" i="7"/>
  <c r="T7" i="17"/>
  <c r="AH7" i="17" s="1"/>
  <c r="Q8" i="17"/>
  <c r="AE8" i="17" s="1"/>
  <c r="AJ2" i="1"/>
  <c r="AJ21" i="1"/>
  <c r="AI21" i="1"/>
  <c r="AI26" i="1"/>
  <c r="AJ26" i="1"/>
  <c r="AG27" i="1"/>
  <c r="AH27" i="1" s="1"/>
  <c r="AE27" i="1"/>
  <c r="AG28" i="1"/>
  <c r="AH28" i="1" s="1"/>
  <c r="AE28" i="1"/>
  <c r="AJ31" i="1"/>
  <c r="AN16" i="2"/>
  <c r="AL16" i="2"/>
  <c r="AN26" i="2"/>
  <c r="AN28" i="2"/>
  <c r="AL28" i="2"/>
  <c r="AK4" i="3"/>
  <c r="AL4" i="3"/>
  <c r="W32" i="17"/>
  <c r="AK32" i="17" s="1"/>
  <c r="W30" i="17"/>
  <c r="AK30" i="17" s="1"/>
  <c r="W28" i="17"/>
  <c r="AK28" i="17" s="1"/>
  <c r="W26" i="17"/>
  <c r="AK26" i="17" s="1"/>
  <c r="W24" i="17"/>
  <c r="AK24" i="17" s="1"/>
  <c r="W22" i="17"/>
  <c r="AK22" i="17" s="1"/>
  <c r="W20" i="17"/>
  <c r="AK20" i="17" s="1"/>
  <c r="W18" i="17"/>
  <c r="AK18" i="17" s="1"/>
  <c r="W16" i="17"/>
  <c r="AK16" i="17" s="1"/>
  <c r="W14" i="17"/>
  <c r="AK14" i="17" s="1"/>
  <c r="W12" i="17"/>
  <c r="AK12" i="17" s="1"/>
  <c r="W10" i="17"/>
  <c r="AK10" i="17" s="1"/>
  <c r="W8" i="17"/>
  <c r="AK8" i="17" s="1"/>
  <c r="W6" i="17"/>
  <c r="AK6" i="17" s="1"/>
  <c r="W4" i="17"/>
  <c r="AK4" i="17" s="1"/>
  <c r="S31" i="17"/>
  <c r="AG31" i="17" s="1"/>
  <c r="S29" i="17"/>
  <c r="AG29" i="17" s="1"/>
  <c r="S27" i="17"/>
  <c r="AG27" i="17" s="1"/>
  <c r="S25" i="17"/>
  <c r="AG25" i="17" s="1"/>
  <c r="S23" i="17"/>
  <c r="AG23" i="17" s="1"/>
  <c r="S21" i="17"/>
  <c r="AG21" i="17" s="1"/>
  <c r="S19" i="17"/>
  <c r="AG19" i="17" s="1"/>
  <c r="S17" i="17"/>
  <c r="AG17" i="17" s="1"/>
  <c r="S15" i="17"/>
  <c r="AG15" i="17" s="1"/>
  <c r="S13" i="17"/>
  <c r="AG13" i="17" s="1"/>
  <c r="S11" i="17"/>
  <c r="AG11" i="17" s="1"/>
  <c r="S9" i="17"/>
  <c r="AG9" i="17" s="1"/>
  <c r="S7" i="17"/>
  <c r="AG7" i="17" s="1"/>
  <c r="S5" i="17"/>
  <c r="AG5" i="17" s="1"/>
  <c r="S3" i="17"/>
  <c r="AG3" i="17" s="1"/>
  <c r="AA31" i="17"/>
  <c r="AO31" i="17" s="1"/>
  <c r="AA29" i="17"/>
  <c r="AO29" i="17" s="1"/>
  <c r="AA27" i="17"/>
  <c r="AO27" i="17" s="1"/>
  <c r="AA25" i="17"/>
  <c r="AO25" i="17" s="1"/>
  <c r="AA23" i="17"/>
  <c r="AO23" i="17" s="1"/>
  <c r="AA21" i="17"/>
  <c r="AO21" i="17" s="1"/>
  <c r="AA19" i="17"/>
  <c r="AO19" i="17" s="1"/>
  <c r="AA17" i="17"/>
  <c r="AO17" i="17" s="1"/>
  <c r="AA15" i="17"/>
  <c r="AO15" i="17" s="1"/>
  <c r="AA13" i="17"/>
  <c r="AO13" i="17" s="1"/>
  <c r="AA11" i="17"/>
  <c r="AO11" i="17" s="1"/>
  <c r="AA9" i="17"/>
  <c r="AO9" i="17" s="1"/>
  <c r="AA7" i="17"/>
  <c r="AO7" i="17" s="1"/>
  <c r="AA5" i="17"/>
  <c r="AO5" i="17" s="1"/>
  <c r="AA3" i="17"/>
  <c r="AO3" i="17" s="1"/>
  <c r="AJ17" i="1"/>
  <c r="AI17" i="1"/>
  <c r="AQ2" i="2"/>
  <c r="AD32" i="2"/>
  <c r="AL4" i="2"/>
  <c r="AN4" i="2"/>
  <c r="AM12" i="2"/>
  <c r="AI12" i="2"/>
  <c r="AL5" i="3"/>
  <c r="AK5" i="3"/>
  <c r="AK20" i="3"/>
  <c r="AL20" i="3"/>
  <c r="AM2" i="5"/>
  <c r="AO2" i="5"/>
  <c r="AO17" i="5"/>
  <c r="AM17" i="5"/>
  <c r="AP4" i="6"/>
  <c r="AO4" i="6"/>
  <c r="AM16" i="7"/>
  <c r="AO16" i="7"/>
  <c r="AD26" i="2"/>
  <c r="AQ26" i="2" s="1"/>
  <c r="X32" i="2"/>
  <c r="X33" i="3"/>
  <c r="Z6" i="3"/>
  <c r="AM6" i="3" s="1"/>
  <c r="AH14" i="3"/>
  <c r="AI30" i="3"/>
  <c r="AJ30" i="3" s="1"/>
  <c r="AG30" i="3"/>
  <c r="AN10" i="5"/>
  <c r="AJ10" i="5"/>
  <c r="AA19" i="5"/>
  <c r="AQ22" i="5"/>
  <c r="AQ24" i="5"/>
  <c r="AN2" i="6"/>
  <c r="AL2" i="6"/>
  <c r="AN6" i="6"/>
  <c r="AL6" i="6"/>
  <c r="AN19" i="6"/>
  <c r="AL19" i="6"/>
  <c r="AM20" i="6"/>
  <c r="AI20" i="6"/>
  <c r="AI26" i="6"/>
  <c r="AM24" i="7"/>
  <c r="AO24" i="7"/>
  <c r="AO17" i="8"/>
  <c r="AP17" i="8"/>
  <c r="AN5" i="10"/>
  <c r="AL5" i="10"/>
  <c r="AE19" i="1"/>
  <c r="AE20" i="1"/>
  <c r="AE21" i="1"/>
  <c r="AE24" i="1"/>
  <c r="AE25" i="1"/>
  <c r="AE26" i="1"/>
  <c r="AF27" i="1"/>
  <c r="AF28" i="1"/>
  <c r="AM9" i="2"/>
  <c r="AJ12" i="2"/>
  <c r="AK12" i="2" s="1"/>
  <c r="AD19" i="2"/>
  <c r="AQ19" i="2" s="1"/>
  <c r="AM25" i="2"/>
  <c r="AI31" i="2"/>
  <c r="Y33" i="3"/>
  <c r="AG4" i="3"/>
  <c r="AI15" i="3"/>
  <c r="AJ15" i="3" s="1"/>
  <c r="AG15" i="3"/>
  <c r="AO25" i="5"/>
  <c r="AM25" i="5"/>
  <c r="AA26" i="5"/>
  <c r="AO27" i="5"/>
  <c r="AM27" i="5"/>
  <c r="AO28" i="5"/>
  <c r="AM28" i="5"/>
  <c r="AL3" i="6"/>
  <c r="AJ4" i="6"/>
  <c r="AK4" i="6" s="1"/>
  <c r="AN13" i="6"/>
  <c r="AL13" i="6"/>
  <c r="AN15" i="6"/>
  <c r="AL15" i="6"/>
  <c r="AN26" i="6"/>
  <c r="AL26" i="6"/>
  <c r="AJ19" i="7"/>
  <c r="AB19" i="7"/>
  <c r="AI14" i="8"/>
  <c r="AA14" i="8"/>
  <c r="AO20" i="9"/>
  <c r="AM20" i="9"/>
  <c r="X11" i="17"/>
  <c r="AL11" i="17" s="1"/>
  <c r="AB12" i="17"/>
  <c r="AP12" i="17" s="1"/>
  <c r="P13" i="17"/>
  <c r="AD13" i="17" s="1"/>
  <c r="AB14" i="17"/>
  <c r="AP14" i="17" s="1"/>
  <c r="P15" i="17"/>
  <c r="AD15" i="17" s="1"/>
  <c r="P17" i="17"/>
  <c r="AD17" i="17" s="1"/>
  <c r="P19" i="17"/>
  <c r="AD19" i="17" s="1"/>
  <c r="AB20" i="17"/>
  <c r="AP20" i="17" s="1"/>
  <c r="X21" i="17"/>
  <c r="AL21" i="17" s="1"/>
  <c r="AB24" i="17"/>
  <c r="AP24" i="17" s="1"/>
  <c r="P25" i="17"/>
  <c r="AD25" i="17" s="1"/>
  <c r="P27" i="17"/>
  <c r="AD27" i="17" s="1"/>
  <c r="X29" i="17"/>
  <c r="AL29" i="17" s="1"/>
  <c r="P31" i="17"/>
  <c r="AD31" i="17" s="1"/>
  <c r="Y2" i="1"/>
  <c r="AG4" i="1"/>
  <c r="AH4" i="1" s="1"/>
  <c r="AE12" i="1"/>
  <c r="AN22" i="2"/>
  <c r="AD29" i="2"/>
  <c r="AQ29" i="2" s="1"/>
  <c r="Z7" i="3"/>
  <c r="AM7" i="3" s="1"/>
  <c r="AO7" i="5"/>
  <c r="AM7" i="5"/>
  <c r="AA14" i="5"/>
  <c r="AQ30" i="5"/>
  <c r="AP30" i="5"/>
  <c r="W33" i="5"/>
  <c r="AQ2" i="6"/>
  <c r="AA6" i="6"/>
  <c r="W38" i="6"/>
  <c r="AD7" i="6"/>
  <c r="AQ7" i="6" s="1"/>
  <c r="AJ7" i="6"/>
  <c r="AK7" i="6" s="1"/>
  <c r="AL11" i="6"/>
  <c r="AN11" i="6"/>
  <c r="AM18" i="6"/>
  <c r="AI18" i="6"/>
  <c r="AP21" i="6"/>
  <c r="AO21" i="6"/>
  <c r="AJ3" i="7"/>
  <c r="AB3" i="7"/>
  <c r="AM4" i="7"/>
  <c r="AO4" i="7"/>
  <c r="AB6" i="7"/>
  <c r="K6" i="7"/>
  <c r="AL11" i="8"/>
  <c r="AN11" i="8"/>
  <c r="AJ23" i="8"/>
  <c r="AK23" i="8" s="1"/>
  <c r="AD23" i="8"/>
  <c r="AQ23" i="8" s="1"/>
  <c r="AN28" i="8"/>
  <c r="AL28" i="8"/>
  <c r="AD19" i="9"/>
  <c r="AR19" i="9" s="1"/>
  <c r="AK19" i="9"/>
  <c r="AL19" i="9" s="1"/>
  <c r="S34" i="11"/>
  <c r="AF3" i="11"/>
  <c r="AI22" i="11"/>
  <c r="AJ22" i="11"/>
  <c r="AB6" i="17"/>
  <c r="AP6" i="17" s="1"/>
  <c r="N35" i="17" s="1"/>
  <c r="X7" i="17"/>
  <c r="AL7" i="17" s="1"/>
  <c r="AB8" i="17"/>
  <c r="AP8" i="17" s="1"/>
  <c r="P9" i="17"/>
  <c r="AD9" i="17" s="1"/>
  <c r="X9" i="17"/>
  <c r="AL9" i="17" s="1"/>
  <c r="AB10" i="17"/>
  <c r="AP10" i="17" s="1"/>
  <c r="P11" i="17"/>
  <c r="AD11" i="17" s="1"/>
  <c r="X13" i="17"/>
  <c r="AL13" i="17" s="1"/>
  <c r="X15" i="17"/>
  <c r="AL15" i="17" s="1"/>
  <c r="AB16" i="17"/>
  <c r="AP16" i="17" s="1"/>
  <c r="X17" i="17"/>
  <c r="AL17" i="17" s="1"/>
  <c r="AB18" i="17"/>
  <c r="AP18" i="17" s="1"/>
  <c r="X19" i="17"/>
  <c r="AL19" i="17" s="1"/>
  <c r="P21" i="17"/>
  <c r="AD21" i="17" s="1"/>
  <c r="AB22" i="17"/>
  <c r="AP22" i="17" s="1"/>
  <c r="P23" i="17"/>
  <c r="AD23" i="17" s="1"/>
  <c r="X23" i="17"/>
  <c r="AL23" i="17" s="1"/>
  <c r="X25" i="17"/>
  <c r="AL25" i="17" s="1"/>
  <c r="AB26" i="17"/>
  <c r="AP26" i="17" s="1"/>
  <c r="X27" i="17"/>
  <c r="AL27" i="17" s="1"/>
  <c r="AB28" i="17"/>
  <c r="AP28" i="17" s="1"/>
  <c r="P29" i="17"/>
  <c r="AD29" i="17" s="1"/>
  <c r="AB30" i="17"/>
  <c r="AP30" i="17" s="1"/>
  <c r="X31" i="17"/>
  <c r="AL31" i="17" s="1"/>
  <c r="AB32" i="17"/>
  <c r="AP32" i="17" s="1"/>
  <c r="AE13" i="1"/>
  <c r="AG22" i="1"/>
  <c r="AH22" i="1" s="1"/>
  <c r="Y29" i="1"/>
  <c r="AK29" i="1" s="1"/>
  <c r="AI9" i="2"/>
  <c r="AC4" i="17"/>
  <c r="AQ4" i="17" s="1"/>
  <c r="O35" i="17" s="1"/>
  <c r="AC6" i="17"/>
  <c r="AQ6" i="17" s="1"/>
  <c r="AC8" i="17"/>
  <c r="AQ8" i="17" s="1"/>
  <c r="AC10" i="17"/>
  <c r="AQ10" i="17" s="1"/>
  <c r="AC12" i="17"/>
  <c r="AQ12" i="17" s="1"/>
  <c r="AC14" i="17"/>
  <c r="AQ14" i="17" s="1"/>
  <c r="AC16" i="17"/>
  <c r="AQ16" i="17" s="1"/>
  <c r="AC18" i="17"/>
  <c r="AQ18" i="17" s="1"/>
  <c r="AC20" i="17"/>
  <c r="AQ20" i="17" s="1"/>
  <c r="AC22" i="17"/>
  <c r="AQ22" i="17" s="1"/>
  <c r="AC24" i="17"/>
  <c r="AQ24" i="17" s="1"/>
  <c r="AC26" i="17"/>
  <c r="AQ26" i="17" s="1"/>
  <c r="AC28" i="17"/>
  <c r="AQ28" i="17" s="1"/>
  <c r="AC30" i="17"/>
  <c r="AQ30" i="17" s="1"/>
  <c r="R34" i="1"/>
  <c r="V3" i="1"/>
  <c r="V34" i="1" s="1"/>
  <c r="AE3" i="1"/>
  <c r="AE4" i="1"/>
  <c r="AE8" i="1"/>
  <c r="AE9" i="1"/>
  <c r="AE10" i="1"/>
  <c r="AG14" i="1"/>
  <c r="AH14" i="1" s="1"/>
  <c r="AF15" i="1"/>
  <c r="AI3" i="2"/>
  <c r="AM11" i="2"/>
  <c r="AI13" i="2"/>
  <c r="AA15" i="2"/>
  <c r="AI16" i="2"/>
  <c r="AI19" i="2"/>
  <c r="AI22" i="2"/>
  <c r="AD23" i="2"/>
  <c r="AQ23" i="2" s="1"/>
  <c r="AA25" i="2"/>
  <c r="S33" i="3"/>
  <c r="Z5" i="3"/>
  <c r="AM5" i="3" s="1"/>
  <c r="W14" i="3"/>
  <c r="AO3" i="5"/>
  <c r="AM3" i="5"/>
  <c r="AO11" i="5"/>
  <c r="AM11" i="5"/>
  <c r="AO15" i="5"/>
  <c r="AM15" i="5"/>
  <c r="AJ22" i="5"/>
  <c r="AA22" i="5"/>
  <c r="AJ24" i="5"/>
  <c r="AA24" i="5"/>
  <c r="AP31" i="5"/>
  <c r="AJ22" i="6"/>
  <c r="AK22" i="6" s="1"/>
  <c r="AA22" i="6"/>
  <c r="AM25" i="6"/>
  <c r="AI25" i="6"/>
  <c r="Y32" i="7"/>
  <c r="AK2" i="7"/>
  <c r="AL2" i="7" s="1"/>
  <c r="AE2" i="7"/>
  <c r="AN12" i="7"/>
  <c r="AK18" i="7"/>
  <c r="AL18" i="7" s="1"/>
  <c r="AE18" i="7"/>
  <c r="AR18" i="7" s="1"/>
  <c r="AL17" i="8"/>
  <c r="AQ10" i="9"/>
  <c r="AP10" i="9"/>
  <c r="AQ11" i="9"/>
  <c r="AP11" i="9"/>
  <c r="AJ12" i="11"/>
  <c r="AI12" i="11"/>
  <c r="AL23" i="3"/>
  <c r="AK23" i="3"/>
  <c r="AL31" i="3"/>
  <c r="AK31" i="3"/>
  <c r="AP3" i="6"/>
  <c r="AO3" i="6"/>
  <c r="AB7" i="7"/>
  <c r="K7" i="7"/>
  <c r="AO14" i="7"/>
  <c r="AN4" i="8"/>
  <c r="AN29" i="8"/>
  <c r="AL29" i="8"/>
  <c r="AP30" i="8"/>
  <c r="AO30" i="8"/>
  <c r="AJ13" i="3"/>
  <c r="AL19" i="3"/>
  <c r="AK19" i="3"/>
  <c r="T34" i="1"/>
  <c r="AF2" i="1"/>
  <c r="AI12" i="1"/>
  <c r="AG30" i="1"/>
  <c r="AH30" i="1" s="1"/>
  <c r="AA6" i="2"/>
  <c r="AA13" i="2"/>
  <c r="AP31" i="2"/>
  <c r="W5" i="3"/>
  <c r="W33" i="3" s="1"/>
  <c r="AL6" i="3"/>
  <c r="AK9" i="3"/>
  <c r="AK25" i="3"/>
  <c r="AO4" i="5"/>
  <c r="AM4" i="5"/>
  <c r="AM13" i="5"/>
  <c r="AO23" i="5"/>
  <c r="AM23" i="5"/>
  <c r="AA25" i="5"/>
  <c r="AJ25" i="5"/>
  <c r="AK31" i="5"/>
  <c r="AL31" i="5" s="1"/>
  <c r="AA31" i="5"/>
  <c r="AN14" i="6"/>
  <c r="AL14" i="6"/>
  <c r="AD20" i="6"/>
  <c r="AQ20" i="6" s="1"/>
  <c r="AL29" i="6"/>
  <c r="AN29" i="6"/>
  <c r="AN31" i="6"/>
  <c r="AO5" i="7"/>
  <c r="AM5" i="7"/>
  <c r="AQ8" i="7"/>
  <c r="AP8" i="7"/>
  <c r="AQ11" i="7"/>
  <c r="AP11" i="7"/>
  <c r="AN13" i="7"/>
  <c r="AJ13" i="7"/>
  <c r="AJ23" i="7"/>
  <c r="AB23" i="7"/>
  <c r="AN10" i="8"/>
  <c r="AL10" i="8"/>
  <c r="AN19" i="8"/>
  <c r="AL19" i="8"/>
  <c r="AN25" i="8"/>
  <c r="AL25" i="8"/>
  <c r="AA28" i="8"/>
  <c r="X10" i="17"/>
  <c r="AL10" i="17" s="1"/>
  <c r="AB11" i="17"/>
  <c r="AP11" i="17" s="1"/>
  <c r="P12" i="17"/>
  <c r="AD12" i="17" s="1"/>
  <c r="X12" i="17"/>
  <c r="AL12" i="17" s="1"/>
  <c r="AB13" i="17"/>
  <c r="AP13" i="17" s="1"/>
  <c r="P14" i="17"/>
  <c r="AD14" i="17" s="1"/>
  <c r="X14" i="17"/>
  <c r="AL14" i="17" s="1"/>
  <c r="AB15" i="17"/>
  <c r="AP15" i="17" s="1"/>
  <c r="P16" i="17"/>
  <c r="AD16" i="17" s="1"/>
  <c r="X16" i="17"/>
  <c r="AL16" i="17" s="1"/>
  <c r="AB17" i="17"/>
  <c r="AP17" i="17" s="1"/>
  <c r="P18" i="17"/>
  <c r="AD18" i="17" s="1"/>
  <c r="X18" i="17"/>
  <c r="AL18" i="17" s="1"/>
  <c r="AB19" i="17"/>
  <c r="AP19" i="17" s="1"/>
  <c r="P20" i="17"/>
  <c r="AD20" i="17" s="1"/>
  <c r="X20" i="17"/>
  <c r="AL20" i="17" s="1"/>
  <c r="AB21" i="17"/>
  <c r="AP21" i="17" s="1"/>
  <c r="P22" i="17"/>
  <c r="AD22" i="17" s="1"/>
  <c r="X22" i="17"/>
  <c r="AL22" i="17" s="1"/>
  <c r="AB23" i="17"/>
  <c r="AP23" i="17" s="1"/>
  <c r="P24" i="17"/>
  <c r="AD24" i="17" s="1"/>
  <c r="X24" i="17"/>
  <c r="AL24" i="17" s="1"/>
  <c r="AB25" i="17"/>
  <c r="AP25" i="17" s="1"/>
  <c r="P26" i="17"/>
  <c r="AD26" i="17" s="1"/>
  <c r="X26" i="17"/>
  <c r="AL26" i="17" s="1"/>
  <c r="AB27" i="17"/>
  <c r="AP27" i="17" s="1"/>
  <c r="P28" i="17"/>
  <c r="AD28" i="17" s="1"/>
  <c r="X28" i="17"/>
  <c r="AL28" i="17" s="1"/>
  <c r="AB29" i="17"/>
  <c r="AP29" i="17" s="1"/>
  <c r="P30" i="17"/>
  <c r="AD30" i="17" s="1"/>
  <c r="X30" i="17"/>
  <c r="AL30" i="17" s="1"/>
  <c r="U34" i="1"/>
  <c r="Y8" i="1"/>
  <c r="AK8" i="1" s="1"/>
  <c r="AA17" i="2"/>
  <c r="AD20" i="2"/>
  <c r="AQ20" i="2" s="1"/>
  <c r="AL22" i="2"/>
  <c r="AA26" i="2"/>
  <c r="AM27" i="2"/>
  <c r="Z2" i="3"/>
  <c r="V33" i="3"/>
  <c r="AH23" i="3"/>
  <c r="Z23" i="3"/>
  <c r="AM23" i="3" s="1"/>
  <c r="AG26" i="3"/>
  <c r="AI26" i="3"/>
  <c r="AJ26" i="3" s="1"/>
  <c r="Z27" i="3"/>
  <c r="AM27" i="3" s="1"/>
  <c r="AK29" i="3"/>
  <c r="AJ2" i="5"/>
  <c r="AN6" i="5"/>
  <c r="AA7" i="5"/>
  <c r="AD19" i="5"/>
  <c r="AR19" i="5" s="1"/>
  <c r="AO21" i="5"/>
  <c r="AM21" i="5"/>
  <c r="AP16" i="6"/>
  <c r="AO16" i="6"/>
  <c r="AN30" i="6"/>
  <c r="AL30" i="6"/>
  <c r="AO9" i="7"/>
  <c r="AM9" i="7"/>
  <c r="AN15" i="7"/>
  <c r="AJ15" i="7"/>
  <c r="K30" i="7"/>
  <c r="AB30" i="7"/>
  <c r="AL27" i="8"/>
  <c r="AN27" i="8"/>
  <c r="AP19" i="10"/>
  <c r="AO19" i="10"/>
  <c r="W33" i="6"/>
  <c r="AM9" i="6"/>
  <c r="AM27" i="6"/>
  <c r="W32" i="7"/>
  <c r="AB11" i="7"/>
  <c r="AJ14" i="7"/>
  <c r="AN22" i="7"/>
  <c r="AJ22" i="7"/>
  <c r="K25" i="7"/>
  <c r="AB25" i="7"/>
  <c r="AO26" i="7"/>
  <c r="AM26" i="7"/>
  <c r="AP16" i="8"/>
  <c r="AO16" i="8"/>
  <c r="AL23" i="8"/>
  <c r="AN23" i="8"/>
  <c r="AR2" i="9"/>
  <c r="AO25" i="9"/>
  <c r="AM25" i="9"/>
  <c r="AI24" i="3"/>
  <c r="AJ24" i="3" s="1"/>
  <c r="AG24" i="3"/>
  <c r="Z28" i="3"/>
  <c r="AM28" i="3" s="1"/>
  <c r="AR2" i="5"/>
  <c r="AD8" i="5"/>
  <c r="AR8" i="5" s="1"/>
  <c r="AJ26" i="5"/>
  <c r="AI9" i="6"/>
  <c r="AN12" i="6"/>
  <c r="AA18" i="6"/>
  <c r="AA20" i="6"/>
  <c r="AA25" i="6"/>
  <c r="AI27" i="6"/>
  <c r="K2" i="7"/>
  <c r="X32" i="7"/>
  <c r="AO2" i="7"/>
  <c r="AJ5" i="7"/>
  <c r="AJ7" i="7"/>
  <c r="AQ18" i="7"/>
  <c r="AP18" i="7"/>
  <c r="AJ3" i="8"/>
  <c r="AK3" i="8" s="1"/>
  <c r="AA3" i="8"/>
  <c r="AP3" i="8"/>
  <c r="AO3" i="8"/>
  <c r="AA18" i="8"/>
  <c r="AI18" i="8"/>
  <c r="AD21" i="8"/>
  <c r="AQ21" i="8" s="1"/>
  <c r="AJ21" i="8"/>
  <c r="AK21" i="8" s="1"/>
  <c r="AA23" i="8"/>
  <c r="AN4" i="9"/>
  <c r="AJ4" i="9"/>
  <c r="AO8" i="9"/>
  <c r="AM8" i="9"/>
  <c r="AI20" i="11"/>
  <c r="AJ20" i="11"/>
  <c r="AI16" i="3"/>
  <c r="AJ16" i="3" s="1"/>
  <c r="AG16" i="3"/>
  <c r="AI18" i="3"/>
  <c r="AJ18" i="3" s="1"/>
  <c r="Z20" i="3"/>
  <c r="AM20" i="3" s="1"/>
  <c r="W23" i="3"/>
  <c r="V33" i="5"/>
  <c r="AN18" i="5"/>
  <c r="AM20" i="5"/>
  <c r="AA29" i="5"/>
  <c r="AA2" i="6"/>
  <c r="AM8" i="6"/>
  <c r="AI13" i="6"/>
  <c r="AA16" i="6"/>
  <c r="AM17" i="6"/>
  <c r="AA23" i="6"/>
  <c r="AM24" i="6"/>
  <c r="AA30" i="6"/>
  <c r="AO7" i="7"/>
  <c r="AN10" i="7"/>
  <c r="K12" i="7"/>
  <c r="AJ31" i="7"/>
  <c r="AN5" i="8"/>
  <c r="AD19" i="8"/>
  <c r="AQ19" i="8" s="1"/>
  <c r="AA21" i="8"/>
  <c r="AD26" i="8"/>
  <c r="AQ26" i="8" s="1"/>
  <c r="AJ12" i="9"/>
  <c r="AO17" i="9"/>
  <c r="AM17" i="9"/>
  <c r="AN31" i="10"/>
  <c r="AP32" i="10"/>
  <c r="AO32" i="10"/>
  <c r="AJ12" i="5"/>
  <c r="AD26" i="5"/>
  <c r="AR26" i="5" s="1"/>
  <c r="AM26" i="5"/>
  <c r="AD4" i="6"/>
  <c r="AQ4" i="6" s="1"/>
  <c r="AL4" i="6"/>
  <c r="AM5" i="6"/>
  <c r="AD18" i="6"/>
  <c r="AQ18" i="6" s="1"/>
  <c r="AA19" i="6"/>
  <c r="AD25" i="6"/>
  <c r="AQ25" i="6" s="1"/>
  <c r="AA26" i="6"/>
  <c r="AA29" i="6"/>
  <c r="AM2" i="7"/>
  <c r="K13" i="7"/>
  <c r="AB13" i="7"/>
  <c r="AN23" i="7"/>
  <c r="AJ6" i="8"/>
  <c r="AK6" i="8" s="1"/>
  <c r="AO28" i="9"/>
  <c r="AM28" i="9"/>
  <c r="AD15" i="10"/>
  <c r="AQ15" i="10" s="1"/>
  <c r="AJ15" i="10"/>
  <c r="AK15" i="10" s="1"/>
  <c r="AN23" i="10"/>
  <c r="AL23" i="10"/>
  <c r="AN25" i="10"/>
  <c r="AL25" i="10"/>
  <c r="Y31" i="1"/>
  <c r="AK31" i="1" s="1"/>
  <c r="AI2" i="2"/>
  <c r="AM10" i="2"/>
  <c r="AI18" i="2"/>
  <c r="AM24" i="2"/>
  <c r="R33" i="3"/>
  <c r="AI8" i="3"/>
  <c r="AJ8" i="3" s="1"/>
  <c r="AG8" i="3"/>
  <c r="AI10" i="3"/>
  <c r="AJ10" i="3" s="1"/>
  <c r="Z12" i="3"/>
  <c r="AM12" i="3" s="1"/>
  <c r="W15" i="3"/>
  <c r="X33" i="5"/>
  <c r="AK2" i="5"/>
  <c r="AL2" i="5" s="1"/>
  <c r="AN8" i="5"/>
  <c r="AA17" i="5"/>
  <c r="AJ30" i="5"/>
  <c r="AI2" i="6"/>
  <c r="X33" i="6"/>
  <c r="AD6" i="6"/>
  <c r="AQ6" i="6" s="1"/>
  <c r="AM10" i="6"/>
  <c r="AI14" i="6"/>
  <c r="AA21" i="6"/>
  <c r="AO22" i="6"/>
  <c r="AM28" i="6"/>
  <c r="AB2" i="7"/>
  <c r="AM8" i="7"/>
  <c r="AB18" i="7"/>
  <c r="AJ18" i="7"/>
  <c r="AO20" i="7"/>
  <c r="AM20" i="7"/>
  <c r="AO21" i="7"/>
  <c r="AM21" i="7"/>
  <c r="AN29" i="7"/>
  <c r="AN31" i="7"/>
  <c r="AM2" i="8"/>
  <c r="AD3" i="8"/>
  <c r="AQ3" i="8" s="1"/>
  <c r="AN6" i="8"/>
  <c r="AL6" i="8"/>
  <c r="AN9" i="8"/>
  <c r="AL9" i="8"/>
  <c r="AL12" i="8"/>
  <c r="AN12" i="8"/>
  <c r="AN15" i="8"/>
  <c r="AL15" i="8"/>
  <c r="AN18" i="8"/>
  <c r="AL18" i="8"/>
  <c r="AI25" i="8"/>
  <c r="AP26" i="8"/>
  <c r="AO26" i="8"/>
  <c r="W33" i="9"/>
  <c r="AA2" i="9"/>
  <c r="AM12" i="9"/>
  <c r="AO12" i="9"/>
  <c r="AM14" i="9"/>
  <c r="AO14" i="9"/>
  <c r="AI30" i="11"/>
  <c r="AJ30" i="11"/>
  <c r="AI14" i="3"/>
  <c r="AJ14" i="3" s="1"/>
  <c r="W17" i="3"/>
  <c r="W21" i="3"/>
  <c r="AJ3" i="5"/>
  <c r="AN16" i="5"/>
  <c r="AJ20" i="5"/>
  <c r="AJ23" i="5"/>
  <c r="I33" i="6"/>
  <c r="AM7" i="6"/>
  <c r="AD30" i="6"/>
  <c r="AQ30" i="6" s="1"/>
  <c r="AJ6" i="7"/>
  <c r="AB21" i="7"/>
  <c r="K21" i="7"/>
  <c r="AK26" i="7"/>
  <c r="AL26" i="7" s="1"/>
  <c r="AB26" i="7"/>
  <c r="AB27" i="7"/>
  <c r="AO30" i="7"/>
  <c r="AM30" i="7"/>
  <c r="AJ19" i="8"/>
  <c r="AK19" i="8" s="1"/>
  <c r="AM20" i="8"/>
  <c r="AI20" i="8"/>
  <c r="AA26" i="8"/>
  <c r="AM32" i="8"/>
  <c r="AK7" i="9"/>
  <c r="AL7" i="9" s="1"/>
  <c r="AM26" i="10"/>
  <c r="AI26" i="10"/>
  <c r="AN17" i="7"/>
  <c r="AJ20" i="7"/>
  <c r="AD2" i="8"/>
  <c r="AI5" i="8"/>
  <c r="AA20" i="8"/>
  <c r="AJ31" i="8"/>
  <c r="AK31" i="8" s="1"/>
  <c r="X33" i="8"/>
  <c r="X33" i="9"/>
  <c r="AO3" i="9"/>
  <c r="AM3" i="9"/>
  <c r="AA6" i="9"/>
  <c r="AN7" i="9"/>
  <c r="AO21" i="9"/>
  <c r="AM21" i="9"/>
  <c r="AO22" i="9"/>
  <c r="AM22" i="9"/>
  <c r="AK27" i="9"/>
  <c r="AL27" i="9" s="1"/>
  <c r="AN4" i="10"/>
  <c r="AD19" i="10"/>
  <c r="AQ19" i="10" s="1"/>
  <c r="AN22" i="10"/>
  <c r="AA25" i="10"/>
  <c r="AN27" i="10"/>
  <c r="AL27" i="10"/>
  <c r="AN28" i="10"/>
  <c r="AL28" i="10"/>
  <c r="W33" i="10"/>
  <c r="U34" i="11"/>
  <c r="Y2" i="11"/>
  <c r="Y3" i="11"/>
  <c r="AK3" i="11" s="1"/>
  <c r="AI8" i="11"/>
  <c r="AJ8" i="11"/>
  <c r="AF23" i="11"/>
  <c r="Y23" i="11"/>
  <c r="AK23" i="11" s="1"/>
  <c r="AO4" i="12"/>
  <c r="AM4" i="12"/>
  <c r="AO5" i="12"/>
  <c r="AM5" i="12"/>
  <c r="AO6" i="12"/>
  <c r="AM6" i="12"/>
  <c r="AJ20" i="13"/>
  <c r="AK20" i="13" s="1"/>
  <c r="AD20" i="13"/>
  <c r="AQ20" i="13" s="1"/>
  <c r="AP29" i="13"/>
  <c r="AO29" i="13"/>
  <c r="AN2" i="14"/>
  <c r="AL2" i="14"/>
  <c r="AN16" i="14"/>
  <c r="AL16" i="14"/>
  <c r="AD5" i="9"/>
  <c r="AR5" i="9" s="1"/>
  <c r="AD14" i="9"/>
  <c r="AR14" i="9" s="1"/>
  <c r="AO16" i="9"/>
  <c r="AM16" i="9"/>
  <c r="AO29" i="9"/>
  <c r="AM29" i="9"/>
  <c r="AO30" i="9"/>
  <c r="AM30" i="9"/>
  <c r="V33" i="10"/>
  <c r="AN7" i="10"/>
  <c r="AL7" i="10"/>
  <c r="AD12" i="10"/>
  <c r="AQ12" i="10" s="1"/>
  <c r="AJ6" i="11"/>
  <c r="AI6" i="11"/>
  <c r="AG15" i="11"/>
  <c r="AH15" i="11" s="1"/>
  <c r="Y19" i="11"/>
  <c r="AK19" i="11" s="1"/>
  <c r="AD26" i="11"/>
  <c r="V26" i="11"/>
  <c r="AD27" i="11"/>
  <c r="AG27" i="11"/>
  <c r="AH27" i="11" s="1"/>
  <c r="AL18" i="13"/>
  <c r="AN18" i="13"/>
  <c r="AL6" i="14"/>
  <c r="AN6" i="14"/>
  <c r="AA16" i="9"/>
  <c r="AO23" i="9"/>
  <c r="AM23" i="9"/>
  <c r="AO24" i="9"/>
  <c r="AM24" i="9"/>
  <c r="AN13" i="10"/>
  <c r="AL13" i="10"/>
  <c r="AJ29" i="10"/>
  <c r="AK29" i="10" s="1"/>
  <c r="AM30" i="10"/>
  <c r="AI30" i="10"/>
  <c r="T34" i="11"/>
  <c r="W34" i="11"/>
  <c r="AJ10" i="11"/>
  <c r="AI10" i="11"/>
  <c r="AR2" i="12"/>
  <c r="AK30" i="12"/>
  <c r="AL30" i="12" s="1"/>
  <c r="AD30" i="12"/>
  <c r="AR30" i="12" s="1"/>
  <c r="AA17" i="13"/>
  <c r="K22" i="7"/>
  <c r="AB22" i="7"/>
  <c r="AN27" i="7"/>
  <c r="AA2" i="8"/>
  <c r="AL3" i="8"/>
  <c r="AM8" i="8"/>
  <c r="AI27" i="8"/>
  <c r="AD6" i="9"/>
  <c r="AR6" i="9" s="1"/>
  <c r="AA12" i="9"/>
  <c r="AN13" i="9"/>
  <c r="AA17" i="9"/>
  <c r="AA24" i="9"/>
  <c r="AD28" i="9"/>
  <c r="AR28" i="9" s="1"/>
  <c r="AA30" i="9"/>
  <c r="AK30" i="9"/>
  <c r="AL30" i="9" s="1"/>
  <c r="AO31" i="9"/>
  <c r="AM31" i="9"/>
  <c r="AA6" i="10"/>
  <c r="AI6" i="10"/>
  <c r="AJ8" i="10"/>
  <c r="AK8" i="10" s="1"/>
  <c r="AN14" i="10"/>
  <c r="AL14" i="10"/>
  <c r="AM18" i="10"/>
  <c r="AI20" i="10"/>
  <c r="AL22" i="10"/>
  <c r="AD25" i="10"/>
  <c r="AQ25" i="10" s="1"/>
  <c r="AI23" i="11"/>
  <c r="AJ23" i="11"/>
  <c r="AJ25" i="11"/>
  <c r="AI25" i="11"/>
  <c r="AM3" i="12"/>
  <c r="AO3" i="12"/>
  <c r="AO23" i="12"/>
  <c r="AM23" i="12"/>
  <c r="AM24" i="12"/>
  <c r="AO24" i="12"/>
  <c r="AB29" i="7"/>
  <c r="AI13" i="8"/>
  <c r="AN5" i="9"/>
  <c r="AD7" i="9"/>
  <c r="AR7" i="9" s="1"/>
  <c r="AO18" i="9"/>
  <c r="AM18" i="9"/>
  <c r="AN8" i="10"/>
  <c r="AL8" i="10"/>
  <c r="AN11" i="10"/>
  <c r="AL11" i="10"/>
  <c r="AM15" i="10"/>
  <c r="AM20" i="10"/>
  <c r="AG2" i="11"/>
  <c r="AH2" i="11" s="1"/>
  <c r="AJ5" i="11"/>
  <c r="AI5" i="11"/>
  <c r="AD17" i="11"/>
  <c r="V17" i="11"/>
  <c r="AJ32" i="11"/>
  <c r="AI32" i="11"/>
  <c r="AO18" i="12"/>
  <c r="AM18" i="12"/>
  <c r="AN19" i="7"/>
  <c r="AA22" i="8"/>
  <c r="AA24" i="8"/>
  <c r="AJ5" i="9"/>
  <c r="AA13" i="9"/>
  <c r="AK13" i="9"/>
  <c r="AL13" i="9" s="1"/>
  <c r="AO19" i="9"/>
  <c r="AM19" i="9"/>
  <c r="AO26" i="9"/>
  <c r="AM26" i="9"/>
  <c r="AA5" i="10"/>
  <c r="AN6" i="10"/>
  <c r="AA7" i="10"/>
  <c r="AI7" i="10"/>
  <c r="AI11" i="10"/>
  <c r="AI15" i="10"/>
  <c r="AA18" i="10"/>
  <c r="AN21" i="10"/>
  <c r="AL21" i="10"/>
  <c r="AA29" i="10"/>
  <c r="AH3" i="11"/>
  <c r="V5" i="11"/>
  <c r="AD7" i="11"/>
  <c r="V7" i="11"/>
  <c r="AG7" i="11"/>
  <c r="AH7" i="11" s="1"/>
  <c r="AI9" i="11"/>
  <c r="AJ9" i="11"/>
  <c r="AI14" i="11"/>
  <c r="AI19" i="11"/>
  <c r="AI21" i="11"/>
  <c r="AJ21" i="11"/>
  <c r="AH28" i="11"/>
  <c r="AJ31" i="11"/>
  <c r="AI31" i="11"/>
  <c r="AP21" i="12"/>
  <c r="AQ21" i="12"/>
  <c r="AK23" i="12"/>
  <c r="AL23" i="12" s="1"/>
  <c r="AD23" i="12"/>
  <c r="AR23" i="12" s="1"/>
  <c r="AB16" i="7"/>
  <c r="AJ21" i="7"/>
  <c r="AB24" i="7"/>
  <c r="AN25" i="7"/>
  <c r="AM7" i="8"/>
  <c r="AA11" i="8"/>
  <c r="AM21" i="8"/>
  <c r="AD30" i="8"/>
  <c r="AQ30" i="8" s="1"/>
  <c r="AM31" i="8"/>
  <c r="AD32" i="8"/>
  <c r="AQ32" i="8" s="1"/>
  <c r="AA5" i="9"/>
  <c r="AN6" i="9"/>
  <c r="AD17" i="9"/>
  <c r="AR17" i="9" s="1"/>
  <c r="AA19" i="9"/>
  <c r="AJ21" i="9"/>
  <c r="AO27" i="9"/>
  <c r="AM27" i="9"/>
  <c r="AQ2" i="10"/>
  <c r="AA15" i="10"/>
  <c r="AA19" i="10"/>
  <c r="AN24" i="10"/>
  <c r="AL24" i="10"/>
  <c r="V3" i="11"/>
  <c r="V34" i="11" s="1"/>
  <c r="AQ11" i="12"/>
  <c r="AP11" i="12"/>
  <c r="AA21" i="9"/>
  <c r="AA29" i="9"/>
  <c r="AM2" i="10"/>
  <c r="AM10" i="10"/>
  <c r="AM17" i="10"/>
  <c r="AD2" i="11"/>
  <c r="V6" i="11"/>
  <c r="AD12" i="11"/>
  <c r="V12" i="11"/>
  <c r="AD15" i="11"/>
  <c r="AD18" i="11"/>
  <c r="V23" i="11"/>
  <c r="AD23" i="11"/>
  <c r="AA8" i="12"/>
  <c r="AA16" i="12"/>
  <c r="AD16" i="12"/>
  <c r="AR16" i="12" s="1"/>
  <c r="AQ16" i="12"/>
  <c r="AO27" i="12"/>
  <c r="AM2" i="13"/>
  <c r="AI2" i="13"/>
  <c r="AA15" i="13"/>
  <c r="AL28" i="13"/>
  <c r="AN28" i="13"/>
  <c r="AA11" i="9"/>
  <c r="AA15" i="9"/>
  <c r="AA18" i="9"/>
  <c r="AA26" i="9"/>
  <c r="X33" i="10"/>
  <c r="AD11" i="10"/>
  <c r="AQ11" i="10" s="1"/>
  <c r="AA13" i="10"/>
  <c r="AA20" i="10"/>
  <c r="AG16" i="11"/>
  <c r="AH16" i="11" s="1"/>
  <c r="AM2" i="12"/>
  <c r="AO2" i="12"/>
  <c r="AM7" i="12"/>
  <c r="AO7" i="12"/>
  <c r="AK9" i="12"/>
  <c r="AL9" i="12" s="1"/>
  <c r="AD9" i="12"/>
  <c r="AR9" i="12" s="1"/>
  <c r="AO10" i="12"/>
  <c r="AM10" i="12"/>
  <c r="AP15" i="12"/>
  <c r="AQ15" i="12"/>
  <c r="AP3" i="13"/>
  <c r="AM8" i="13"/>
  <c r="AI8" i="13"/>
  <c r="AL14" i="13"/>
  <c r="AN14" i="13"/>
  <c r="AA23" i="9"/>
  <c r="AA31" i="9"/>
  <c r="AJ2" i="10"/>
  <c r="AK2" i="10" s="1"/>
  <c r="AI4" i="10"/>
  <c r="AM12" i="10"/>
  <c r="AM16" i="10"/>
  <c r="AI22" i="10"/>
  <c r="AA27" i="10"/>
  <c r="AI31" i="10"/>
  <c r="AG11" i="11"/>
  <c r="AH11" i="11" s="1"/>
  <c r="AD11" i="11"/>
  <c r="AG18" i="11"/>
  <c r="AH18" i="11" s="1"/>
  <c r="AD19" i="11"/>
  <c r="AF24" i="11"/>
  <c r="AA25" i="12"/>
  <c r="AD25" i="12"/>
  <c r="AR25" i="12" s="1"/>
  <c r="AA10" i="9"/>
  <c r="AA14" i="9"/>
  <c r="AA20" i="9"/>
  <c r="AA28" i="9"/>
  <c r="AM9" i="10"/>
  <c r="AM29" i="10"/>
  <c r="R34" i="11"/>
  <c r="Y6" i="11"/>
  <c r="AK6" i="11" s="1"/>
  <c r="Y9" i="11"/>
  <c r="AK9" i="11" s="1"/>
  <c r="AG13" i="11"/>
  <c r="AH13" i="11" s="1"/>
  <c r="AN12" i="12"/>
  <c r="AO13" i="12"/>
  <c r="AM13" i="12"/>
  <c r="AA5" i="13"/>
  <c r="AN5" i="13"/>
  <c r="AL24" i="13"/>
  <c r="AN24" i="13"/>
  <c r="AA2" i="13"/>
  <c r="W32" i="13"/>
  <c r="AL15" i="13"/>
  <c r="AN15" i="13"/>
  <c r="AL19" i="13"/>
  <c r="AN19" i="13"/>
  <c r="AL21" i="13"/>
  <c r="AN21" i="13"/>
  <c r="AL26" i="13"/>
  <c r="AN26" i="13"/>
  <c r="AP10" i="14"/>
  <c r="AO10" i="14"/>
  <c r="AM24" i="14"/>
  <c r="AI24" i="14"/>
  <c r="AL25" i="14"/>
  <c r="AN25" i="14"/>
  <c r="AF27" i="11"/>
  <c r="Y30" i="11"/>
  <c r="AK30" i="11" s="1"/>
  <c r="AD4" i="12"/>
  <c r="AR4" i="12" s="1"/>
  <c r="AD13" i="12"/>
  <c r="AR13" i="12" s="1"/>
  <c r="AM28" i="12"/>
  <c r="W32" i="12"/>
  <c r="X32" i="13"/>
  <c r="AM7" i="13"/>
  <c r="AI7" i="13"/>
  <c r="AJ3" i="14"/>
  <c r="AK3" i="14" s="1"/>
  <c r="AD3" i="14"/>
  <c r="AM5" i="14"/>
  <c r="AI5" i="14"/>
  <c r="AJ11" i="14"/>
  <c r="AK11" i="14" s="1"/>
  <c r="AA11" i="14"/>
  <c r="AL14" i="14"/>
  <c r="AN14" i="14"/>
  <c r="AO20" i="14"/>
  <c r="AP20" i="14"/>
  <c r="V32" i="12"/>
  <c r="AA4" i="12"/>
  <c r="AD11" i="12"/>
  <c r="AR11" i="12" s="1"/>
  <c r="AA13" i="12"/>
  <c r="AN14" i="12"/>
  <c r="AA24" i="12"/>
  <c r="AO25" i="12"/>
  <c r="AM25" i="12"/>
  <c r="AN26" i="12"/>
  <c r="AL16" i="13"/>
  <c r="AN16" i="13"/>
  <c r="AL20" i="13"/>
  <c r="AN20" i="13"/>
  <c r="AA10" i="14"/>
  <c r="AP15" i="14"/>
  <c r="AO15" i="14"/>
  <c r="AO8" i="12"/>
  <c r="AM8" i="12"/>
  <c r="AN17" i="12"/>
  <c r="AM4" i="13"/>
  <c r="AI4" i="13"/>
  <c r="AM10" i="13"/>
  <c r="AI10" i="13"/>
  <c r="AG26" i="11"/>
  <c r="AH26" i="11" s="1"/>
  <c r="AH29" i="11"/>
  <c r="X32" i="12"/>
  <c r="AK2" i="12"/>
  <c r="AL2" i="12" s="1"/>
  <c r="AN9" i="12"/>
  <c r="AA14" i="12"/>
  <c r="AP16" i="12"/>
  <c r="AN20" i="12"/>
  <c r="AD17" i="13"/>
  <c r="AQ17" i="13" s="1"/>
  <c r="AP23" i="13"/>
  <c r="AO23" i="13"/>
  <c r="AD11" i="14"/>
  <c r="AQ11" i="14" s="1"/>
  <c r="AG24" i="11"/>
  <c r="AH24" i="11" s="1"/>
  <c r="AA9" i="12"/>
  <c r="AO19" i="12"/>
  <c r="AM19" i="12"/>
  <c r="AA23" i="12"/>
  <c r="AQ29" i="12"/>
  <c r="AP29" i="12"/>
  <c r="AN31" i="12"/>
  <c r="AM12" i="13"/>
  <c r="AI12" i="13"/>
  <c r="AL22" i="13"/>
  <c r="AN22" i="13"/>
  <c r="AI2" i="14"/>
  <c r="AP11" i="14"/>
  <c r="AO11" i="14"/>
  <c r="AI22" i="13"/>
  <c r="AL30" i="13"/>
  <c r="AN30" i="13"/>
  <c r="AP3" i="14"/>
  <c r="AO3" i="14"/>
  <c r="AD17" i="14"/>
  <c r="AQ17" i="14" s="1"/>
  <c r="AA17" i="14"/>
  <c r="AJ17" i="14"/>
  <c r="AK17" i="14" s="1"/>
  <c r="AM19" i="14"/>
  <c r="V32" i="13"/>
  <c r="AN17" i="13"/>
  <c r="AA21" i="13"/>
  <c r="AD23" i="13"/>
  <c r="AQ23" i="13" s="1"/>
  <c r="AN27" i="13"/>
  <c r="AA3" i="14"/>
  <c r="AA8" i="14"/>
  <c r="AN17" i="14"/>
  <c r="AL17" i="14"/>
  <c r="AP18" i="14"/>
  <c r="AO18" i="14"/>
  <c r="AM23" i="14"/>
  <c r="AN31" i="14"/>
  <c r="AL31" i="14"/>
  <c r="AD26" i="12"/>
  <c r="AR26" i="12" s="1"/>
  <c r="AM9" i="13"/>
  <c r="AI9" i="13"/>
  <c r="AM11" i="13"/>
  <c r="AI11" i="13"/>
  <c r="AM13" i="13"/>
  <c r="AI13" i="13"/>
  <c r="AA25" i="13"/>
  <c r="AD27" i="13"/>
  <c r="AQ27" i="13" s="1"/>
  <c r="AN31" i="13"/>
  <c r="AA12" i="14"/>
  <c r="AA15" i="14"/>
  <c r="AI15" i="14"/>
  <c r="AL18" i="14"/>
  <c r="AN22" i="14"/>
  <c r="AL27" i="14"/>
  <c r="AN27" i="14"/>
  <c r="AD21" i="13"/>
  <c r="AQ21" i="13" s="1"/>
  <c r="AN30" i="12"/>
  <c r="AL3" i="13"/>
  <c r="AM6" i="13"/>
  <c r="AI6" i="13"/>
  <c r="AD15" i="13"/>
  <c r="AQ15" i="13" s="1"/>
  <c r="AI24" i="13"/>
  <c r="AN25" i="13"/>
  <c r="AA29" i="13"/>
  <c r="AD31" i="13"/>
  <c r="AQ31" i="13" s="1"/>
  <c r="AM7" i="14"/>
  <c r="AN8" i="14"/>
  <c r="AN28" i="14"/>
  <c r="AL28" i="14"/>
  <c r="AA30" i="12"/>
  <c r="AI18" i="13"/>
  <c r="AA23" i="13"/>
  <c r="AD25" i="13"/>
  <c r="AQ25" i="13" s="1"/>
  <c r="AN13" i="14"/>
  <c r="AA18" i="14"/>
  <c r="AL20" i="14"/>
  <c r="AA26" i="14"/>
  <c r="AI29" i="14"/>
  <c r="AL29" i="14"/>
  <c r="AM32" i="14"/>
  <c r="AA18" i="13"/>
  <c r="AA22" i="13"/>
  <c r="AA26" i="13"/>
  <c r="AA30" i="13"/>
  <c r="AM4" i="14"/>
  <c r="AD8" i="14"/>
  <c r="AQ8" i="14" s="1"/>
  <c r="AM12" i="14"/>
  <c r="AI14" i="14"/>
  <c r="AI23" i="14"/>
  <c r="AN26" i="14"/>
  <c r="AA27" i="14"/>
  <c r="AO29" i="14"/>
  <c r="AA31" i="14"/>
  <c r="AI4" i="14"/>
  <c r="AI6" i="14"/>
  <c r="AI12" i="14"/>
  <c r="AD18" i="14"/>
  <c r="AQ18" i="14" s="1"/>
  <c r="AI25" i="14"/>
  <c r="AL33" i="14"/>
  <c r="AD32" i="14"/>
  <c r="AQ32" i="14" s="1"/>
  <c r="AJ32" i="14"/>
  <c r="AK32" i="14" s="1"/>
  <c r="AD19" i="14"/>
  <c r="AQ19" i="14" s="1"/>
  <c r="AM21" i="14"/>
  <c r="AA16" i="13"/>
  <c r="AA20" i="13"/>
  <c r="AA24" i="13"/>
  <c r="AA28" i="13"/>
  <c r="AA6" i="14"/>
  <c r="AD7" i="14"/>
  <c r="AQ7" i="14" s="1"/>
  <c r="AI11" i="14"/>
  <c r="AI13" i="14"/>
  <c r="AA25" i="14"/>
  <c r="AD29" i="14"/>
  <c r="AQ29" i="14" s="1"/>
  <c r="AA32" i="14"/>
  <c r="AM30" i="14"/>
  <c r="AN12" i="13" l="1"/>
  <c r="AL12" i="13"/>
  <c r="AM14" i="12"/>
  <c r="AO14" i="12"/>
  <c r="AP30" i="6"/>
  <c r="AO30" i="6"/>
  <c r="Y34" i="1"/>
  <c r="AK2" i="1"/>
  <c r="AD32" i="13"/>
  <c r="AI24" i="11"/>
  <c r="AJ24" i="11"/>
  <c r="AO9" i="12"/>
  <c r="AM9" i="12"/>
  <c r="AN4" i="13"/>
  <c r="AL4" i="13"/>
  <c r="AO14" i="13"/>
  <c r="AP14" i="13"/>
  <c r="AP10" i="12"/>
  <c r="AQ10" i="12"/>
  <c r="AO28" i="13"/>
  <c r="AP28" i="13"/>
  <c r="AQ27" i="9"/>
  <c r="AP27" i="9"/>
  <c r="AN15" i="10"/>
  <c r="AL15" i="10"/>
  <c r="AO5" i="9"/>
  <c r="AM5" i="9"/>
  <c r="AN18" i="10"/>
  <c r="AL18" i="10"/>
  <c r="AQ23" i="9"/>
  <c r="AP23" i="9"/>
  <c r="AP16" i="9"/>
  <c r="AQ16" i="9"/>
  <c r="AP4" i="12"/>
  <c r="AQ4" i="12"/>
  <c r="AP4" i="10"/>
  <c r="AO4" i="10"/>
  <c r="AD33" i="8"/>
  <c r="AQ2" i="8"/>
  <c r="AO16" i="5"/>
  <c r="AM16" i="5"/>
  <c r="AM8" i="5"/>
  <c r="AO8" i="5"/>
  <c r="AN5" i="6"/>
  <c r="AL5" i="6"/>
  <c r="AP31" i="10"/>
  <c r="AO31" i="10"/>
  <c r="AQ8" i="9"/>
  <c r="AP8" i="9"/>
  <c r="AQ2" i="7"/>
  <c r="AP2" i="7"/>
  <c r="AL27" i="2"/>
  <c r="AN27" i="2"/>
  <c r="AP25" i="8"/>
  <c r="AO25" i="8"/>
  <c r="AO13" i="7"/>
  <c r="AM13" i="7"/>
  <c r="AP29" i="6"/>
  <c r="AO29" i="6"/>
  <c r="AO4" i="8"/>
  <c r="AP4" i="8"/>
  <c r="AN25" i="6"/>
  <c r="AL25" i="6"/>
  <c r="AN11" i="2"/>
  <c r="AL11" i="2"/>
  <c r="AP11" i="8"/>
  <c r="AO11" i="8"/>
  <c r="AL25" i="2"/>
  <c r="AN25" i="2"/>
  <c r="AQ24" i="7"/>
  <c r="AP24" i="7"/>
  <c r="AO6" i="6"/>
  <c r="AP6" i="6"/>
  <c r="AP14" i="2"/>
  <c r="AO14" i="2"/>
  <c r="I35" i="17"/>
  <c r="AP23" i="6"/>
  <c r="AO23" i="6"/>
  <c r="AP29" i="2"/>
  <c r="AO29" i="2"/>
  <c r="AO30" i="2"/>
  <c r="AP30" i="2"/>
  <c r="AO25" i="14"/>
  <c r="AP25" i="14"/>
  <c r="AL20" i="10"/>
  <c r="AN20" i="10"/>
  <c r="AO7" i="9"/>
  <c r="AM7" i="9"/>
  <c r="AQ21" i="7"/>
  <c r="AP21" i="7"/>
  <c r="AK8" i="3"/>
  <c r="AL8" i="3"/>
  <c r="AN21" i="8"/>
  <c r="AL21" i="8"/>
  <c r="AI3" i="11"/>
  <c r="AJ3" i="11"/>
  <c r="AN8" i="8"/>
  <c r="AL8" i="8"/>
  <c r="AL30" i="10"/>
  <c r="AN30" i="10"/>
  <c r="AP7" i="10"/>
  <c r="AO7" i="10"/>
  <c r="AD33" i="10"/>
  <c r="AN20" i="8"/>
  <c r="AL20" i="8"/>
  <c r="AQ12" i="9"/>
  <c r="AP12" i="9"/>
  <c r="AP18" i="8"/>
  <c r="AO18" i="8"/>
  <c r="AP6" i="8"/>
  <c r="AO6" i="8"/>
  <c r="AQ20" i="7"/>
  <c r="AP20" i="7"/>
  <c r="AN24" i="2"/>
  <c r="AL24" i="2"/>
  <c r="AP23" i="10"/>
  <c r="AO23" i="10"/>
  <c r="AQ25" i="9"/>
  <c r="AP25" i="9"/>
  <c r="AQ26" i="7"/>
  <c r="AP26" i="7"/>
  <c r="AN27" i="6"/>
  <c r="AL27" i="6"/>
  <c r="AP14" i="7"/>
  <c r="AQ14" i="7"/>
  <c r="AQ15" i="5"/>
  <c r="AP15" i="5"/>
  <c r="AQ7" i="5"/>
  <c r="AP7" i="5"/>
  <c r="AP13" i="6"/>
  <c r="AO13" i="6"/>
  <c r="AK30" i="3"/>
  <c r="AL30" i="3"/>
  <c r="K35" i="17"/>
  <c r="AP29" i="5"/>
  <c r="AQ29" i="5"/>
  <c r="AQ12" i="5"/>
  <c r="AP12" i="5"/>
  <c r="AP21" i="2"/>
  <c r="AO21" i="2"/>
  <c r="AP12" i="6"/>
  <c r="AO12" i="6"/>
  <c r="AO18" i="2"/>
  <c r="AP18" i="2"/>
  <c r="AN19" i="14"/>
  <c r="AL19" i="14"/>
  <c r="AN21" i="14"/>
  <c r="AL21" i="14"/>
  <c r="AN12" i="14"/>
  <c r="AL12" i="14"/>
  <c r="AM17" i="12"/>
  <c r="AO17" i="12"/>
  <c r="AN29" i="10"/>
  <c r="AL29" i="10"/>
  <c r="AP6" i="14"/>
  <c r="AO6" i="14"/>
  <c r="AP3" i="9"/>
  <c r="AQ3" i="9"/>
  <c r="AQ17" i="9"/>
  <c r="AP17" i="9"/>
  <c r="AN8" i="6"/>
  <c r="AL8" i="6"/>
  <c r="AO4" i="9"/>
  <c r="AM4" i="9"/>
  <c r="AN9" i="6"/>
  <c r="AL9" i="6"/>
  <c r="AK26" i="3"/>
  <c r="AL26" i="3"/>
  <c r="AD33" i="6"/>
  <c r="AQ25" i="5"/>
  <c r="AP25" i="5"/>
  <c r="AO2" i="6"/>
  <c r="AP2" i="6"/>
  <c r="AJ28" i="1"/>
  <c r="AI28" i="1"/>
  <c r="AP13" i="2"/>
  <c r="AO13" i="2"/>
  <c r="AP19" i="2"/>
  <c r="AO19" i="2"/>
  <c r="AP23" i="2"/>
  <c r="AO23" i="2"/>
  <c r="AP21" i="13"/>
  <c r="AO21" i="13"/>
  <c r="AO24" i="13"/>
  <c r="AP24" i="13"/>
  <c r="AO9" i="8"/>
  <c r="AP9" i="8"/>
  <c r="AO25" i="10"/>
  <c r="AP25" i="10"/>
  <c r="AO5" i="8"/>
  <c r="AP5" i="8"/>
  <c r="AQ27" i="5"/>
  <c r="AP27" i="5"/>
  <c r="AO10" i="5"/>
  <c r="AM10" i="5"/>
  <c r="AM31" i="12"/>
  <c r="AO31" i="12"/>
  <c r="AO16" i="13"/>
  <c r="AP16" i="13"/>
  <c r="AL17" i="10"/>
  <c r="AN17" i="10"/>
  <c r="AP6" i="10"/>
  <c r="AO6" i="10"/>
  <c r="AO11" i="10"/>
  <c r="AP11" i="10"/>
  <c r="AP14" i="10"/>
  <c r="AO14" i="10"/>
  <c r="AD32" i="12"/>
  <c r="AO10" i="7"/>
  <c r="AM10" i="7"/>
  <c r="AL18" i="3"/>
  <c r="AK18" i="3"/>
  <c r="AP19" i="8"/>
  <c r="AO19" i="8"/>
  <c r="AP23" i="5"/>
  <c r="AQ23" i="5"/>
  <c r="AN4" i="14"/>
  <c r="AL4" i="14"/>
  <c r="AO22" i="14"/>
  <c r="AP22" i="14"/>
  <c r="AP31" i="14"/>
  <c r="AO31" i="14"/>
  <c r="AP27" i="13"/>
  <c r="AO27" i="13"/>
  <c r="AI29" i="11"/>
  <c r="AJ29" i="11"/>
  <c r="AQ8" i="12"/>
  <c r="AP8" i="12"/>
  <c r="AM26" i="12"/>
  <c r="AO26" i="12"/>
  <c r="AN5" i="14"/>
  <c r="AL5" i="14"/>
  <c r="AP15" i="13"/>
  <c r="AO15" i="13"/>
  <c r="AN9" i="10"/>
  <c r="AL9" i="10"/>
  <c r="AN12" i="10"/>
  <c r="AL12" i="10"/>
  <c r="AN8" i="13"/>
  <c r="AL8" i="13"/>
  <c r="AP7" i="12"/>
  <c r="AQ7" i="12"/>
  <c r="AN10" i="10"/>
  <c r="AL10" i="10"/>
  <c r="AP24" i="10"/>
  <c r="AO24" i="10"/>
  <c r="AN7" i="8"/>
  <c r="AL7" i="8"/>
  <c r="AP24" i="12"/>
  <c r="AQ24" i="12"/>
  <c r="AI15" i="11"/>
  <c r="AJ15" i="11"/>
  <c r="AP15" i="8"/>
  <c r="AO15" i="8"/>
  <c r="AL2" i="8"/>
  <c r="AN2" i="8"/>
  <c r="AN10" i="2"/>
  <c r="AL10" i="2"/>
  <c r="AQ7" i="7"/>
  <c r="AP7" i="7"/>
  <c r="AD33" i="9"/>
  <c r="AM15" i="7"/>
  <c r="AO15" i="7"/>
  <c r="AQ21" i="5"/>
  <c r="AP21" i="5"/>
  <c r="AL13" i="3"/>
  <c r="AK13" i="3"/>
  <c r="AM12" i="7"/>
  <c r="AO12" i="7"/>
  <c r="AQ11" i="5"/>
  <c r="AP11" i="5"/>
  <c r="AJ14" i="1"/>
  <c r="AI14" i="1"/>
  <c r="AJ22" i="1"/>
  <c r="AI22" i="1"/>
  <c r="AN18" i="6"/>
  <c r="AL18" i="6"/>
  <c r="AN9" i="2"/>
  <c r="AL9" i="2"/>
  <c r="E35" i="17"/>
  <c r="AN7" i="2"/>
  <c r="AL7" i="2"/>
  <c r="J35" i="17"/>
  <c r="AP13" i="8"/>
  <c r="AO13" i="8"/>
  <c r="B35" i="17"/>
  <c r="AL7" i="3"/>
  <c r="AK7" i="3"/>
  <c r="AO20" i="13"/>
  <c r="AP20" i="13"/>
  <c r="AQ19" i="9"/>
  <c r="AP19" i="9"/>
  <c r="AL24" i="3"/>
  <c r="AK24" i="3"/>
  <c r="AP31" i="6"/>
  <c r="AO31" i="6"/>
  <c r="AO15" i="6"/>
  <c r="AP15" i="6"/>
  <c r="AP16" i="7"/>
  <c r="AQ16" i="7"/>
  <c r="AP16" i="2"/>
  <c r="AO16" i="2"/>
  <c r="AO3" i="2"/>
  <c r="AP3" i="2"/>
  <c r="AP31" i="13"/>
  <c r="AO31" i="13"/>
  <c r="AP25" i="13"/>
  <c r="AO25" i="13"/>
  <c r="AP5" i="13"/>
  <c r="AO5" i="13"/>
  <c r="AP28" i="10"/>
  <c r="AO28" i="10"/>
  <c r="AO17" i="7"/>
  <c r="AM17" i="7"/>
  <c r="AN10" i="6"/>
  <c r="AL10" i="6"/>
  <c r="AP28" i="14"/>
  <c r="AO28" i="14"/>
  <c r="AN13" i="13"/>
  <c r="AL13" i="13"/>
  <c r="AN23" i="14"/>
  <c r="AL23" i="14"/>
  <c r="AP22" i="13"/>
  <c r="AO22" i="13"/>
  <c r="AJ26" i="11"/>
  <c r="AI26" i="11"/>
  <c r="AQ3" i="14"/>
  <c r="AD33" i="14"/>
  <c r="AQ33" i="14" s="1"/>
  <c r="AQ13" i="12"/>
  <c r="AP13" i="12"/>
  <c r="AJ18" i="11"/>
  <c r="AI18" i="11"/>
  <c r="AL2" i="13"/>
  <c r="AN2" i="13"/>
  <c r="AL2" i="10"/>
  <c r="AN2" i="10"/>
  <c r="AO6" i="9"/>
  <c r="AM6" i="9"/>
  <c r="AO25" i="7"/>
  <c r="AM25" i="7"/>
  <c r="AP21" i="10"/>
  <c r="AO21" i="10"/>
  <c r="AP8" i="10"/>
  <c r="AO8" i="10"/>
  <c r="AM27" i="7"/>
  <c r="AO27" i="7"/>
  <c r="AP13" i="10"/>
  <c r="AO13" i="10"/>
  <c r="AO18" i="13"/>
  <c r="AP18" i="13"/>
  <c r="AQ30" i="9"/>
  <c r="AP30" i="9"/>
  <c r="AP16" i="14"/>
  <c r="AO16" i="14"/>
  <c r="AQ6" i="12"/>
  <c r="AP6" i="12"/>
  <c r="AO27" i="10"/>
  <c r="AP27" i="10"/>
  <c r="AQ22" i="9"/>
  <c r="AP22" i="9"/>
  <c r="AN26" i="10"/>
  <c r="AL26" i="10"/>
  <c r="AQ30" i="7"/>
  <c r="AP30" i="7"/>
  <c r="AN7" i="6"/>
  <c r="AL7" i="6"/>
  <c r="AK14" i="3"/>
  <c r="AL14" i="3"/>
  <c r="AP12" i="8"/>
  <c r="AO12" i="8"/>
  <c r="AM31" i="7"/>
  <c r="AO31" i="7"/>
  <c r="AK16" i="3"/>
  <c r="AL16" i="3"/>
  <c r="AD33" i="5"/>
  <c r="AP23" i="8"/>
  <c r="AO23" i="8"/>
  <c r="AP10" i="8"/>
  <c r="AO10" i="8"/>
  <c r="AO14" i="6"/>
  <c r="AP14" i="6"/>
  <c r="AE32" i="7"/>
  <c r="AR2" i="7"/>
  <c r="AP4" i="7"/>
  <c r="AQ4" i="7"/>
  <c r="AP11" i="6"/>
  <c r="AO11" i="6"/>
  <c r="AO22" i="2"/>
  <c r="AP22" i="2"/>
  <c r="AL15" i="3"/>
  <c r="AK15" i="3"/>
  <c r="AL20" i="6"/>
  <c r="AN20" i="6"/>
  <c r="AP17" i="5"/>
  <c r="AQ17" i="5"/>
  <c r="AN12" i="2"/>
  <c r="AL12" i="2"/>
  <c r="M35" i="17"/>
  <c r="AP28" i="2"/>
  <c r="AO28" i="2"/>
  <c r="AJ27" i="1"/>
  <c r="AI27" i="1"/>
  <c r="AP20" i="2"/>
  <c r="AO20" i="2"/>
  <c r="C35" i="17"/>
  <c r="AP2" i="9"/>
  <c r="AQ2" i="9"/>
  <c r="AP6" i="2"/>
  <c r="AO6" i="2"/>
  <c r="AQ9" i="5"/>
  <c r="AP9" i="5"/>
  <c r="AO5" i="2"/>
  <c r="AP5" i="2"/>
  <c r="AO30" i="12"/>
  <c r="AM30" i="12"/>
  <c r="AN7" i="13"/>
  <c r="AL7" i="13"/>
  <c r="AJ16" i="11"/>
  <c r="AI16" i="11"/>
  <c r="AQ31" i="9"/>
  <c r="AP31" i="9"/>
  <c r="Z33" i="3"/>
  <c r="AM2" i="3"/>
  <c r="AP17" i="14"/>
  <c r="AO17" i="14"/>
  <c r="AO27" i="14"/>
  <c r="AP27" i="14"/>
  <c r="AP19" i="13"/>
  <c r="AO19" i="13"/>
  <c r="AN16" i="10"/>
  <c r="AL16" i="10"/>
  <c r="AL30" i="14"/>
  <c r="AN30" i="14"/>
  <c r="AO8" i="14"/>
  <c r="AP8" i="14"/>
  <c r="AO20" i="12"/>
  <c r="AM20" i="12"/>
  <c r="AP26" i="13"/>
  <c r="AO26" i="13"/>
  <c r="AO29" i="7"/>
  <c r="AM29" i="7"/>
  <c r="AL10" i="3"/>
  <c r="AK10" i="3"/>
  <c r="AQ28" i="9"/>
  <c r="AP28" i="9"/>
  <c r="AN24" i="6"/>
  <c r="AL24" i="6"/>
  <c r="AO22" i="7"/>
  <c r="AM22" i="7"/>
  <c r="AQ9" i="7"/>
  <c r="AP9" i="7"/>
  <c r="AQ4" i="5"/>
  <c r="AP4" i="5"/>
  <c r="AJ30" i="1"/>
  <c r="AI30" i="1"/>
  <c r="AP3" i="5"/>
  <c r="AQ3" i="5"/>
  <c r="AO28" i="8"/>
  <c r="AP28" i="8"/>
  <c r="AO26" i="6"/>
  <c r="AP26" i="6"/>
  <c r="AQ28" i="5"/>
  <c r="AP28" i="5"/>
  <c r="AP5" i="10"/>
  <c r="AO5" i="10"/>
  <c r="AQ2" i="5"/>
  <c r="AP2" i="5"/>
  <c r="AO4" i="2"/>
  <c r="AP4" i="2"/>
  <c r="AP26" i="2"/>
  <c r="AO26" i="2"/>
  <c r="AO8" i="2"/>
  <c r="AP8" i="2"/>
  <c r="AO2" i="2"/>
  <c r="AP2" i="2"/>
  <c r="AK22" i="3"/>
  <c r="AL22" i="3"/>
  <c r="AN31" i="8"/>
  <c r="AL31" i="8"/>
  <c r="AQ18" i="12"/>
  <c r="AP18" i="12"/>
  <c r="AQ3" i="12"/>
  <c r="AP3" i="12"/>
  <c r="AQ14" i="9"/>
  <c r="AP14" i="9"/>
  <c r="AO23" i="7"/>
  <c r="AM23" i="7"/>
  <c r="AN17" i="6"/>
  <c r="AL17" i="6"/>
  <c r="AP29" i="8"/>
  <c r="AO29" i="8"/>
  <c r="AQ20" i="9"/>
  <c r="AP20" i="9"/>
  <c r="AN32" i="14"/>
  <c r="AL32" i="14"/>
  <c r="AL9" i="13"/>
  <c r="AN9" i="13"/>
  <c r="AN24" i="14"/>
  <c r="AL24" i="14"/>
  <c r="AN6" i="13"/>
  <c r="AL6" i="13"/>
  <c r="AQ25" i="12"/>
  <c r="AP25" i="12"/>
  <c r="AM12" i="12"/>
  <c r="AO12" i="12"/>
  <c r="AP2" i="12"/>
  <c r="AQ2" i="12"/>
  <c r="AP27" i="12"/>
  <c r="AQ27" i="12"/>
  <c r="AI7" i="11"/>
  <c r="AJ7" i="11"/>
  <c r="AP26" i="9"/>
  <c r="AQ26" i="9"/>
  <c r="AM19" i="7"/>
  <c r="AO19" i="7"/>
  <c r="AM13" i="9"/>
  <c r="AO13" i="9"/>
  <c r="AO26" i="14"/>
  <c r="AP26" i="14"/>
  <c r="AP13" i="14"/>
  <c r="AO13" i="14"/>
  <c r="AN7" i="14"/>
  <c r="AL7" i="14"/>
  <c r="AL11" i="13"/>
  <c r="AN11" i="13"/>
  <c r="AP17" i="13"/>
  <c r="AO17" i="13"/>
  <c r="AO30" i="13"/>
  <c r="AP30" i="13"/>
  <c r="AP19" i="12"/>
  <c r="AQ19" i="12"/>
  <c r="AN10" i="13"/>
  <c r="AL10" i="13"/>
  <c r="AP14" i="14"/>
  <c r="AO14" i="14"/>
  <c r="AI13" i="11"/>
  <c r="AJ13" i="11"/>
  <c r="AJ11" i="11"/>
  <c r="AI11" i="11"/>
  <c r="AJ28" i="11"/>
  <c r="AI28" i="11"/>
  <c r="AJ2" i="11"/>
  <c r="AI2" i="11"/>
  <c r="AQ18" i="9"/>
  <c r="AP18" i="9"/>
  <c r="AP23" i="12"/>
  <c r="AQ23" i="12"/>
  <c r="AP24" i="9"/>
  <c r="AQ24" i="9"/>
  <c r="AJ27" i="11"/>
  <c r="AI27" i="11"/>
  <c r="AQ29" i="9"/>
  <c r="AP29" i="9"/>
  <c r="AP2" i="14"/>
  <c r="AO2" i="14"/>
  <c r="AQ5" i="12"/>
  <c r="AP5" i="12"/>
  <c r="AK2" i="11"/>
  <c r="Y34" i="11"/>
  <c r="AO22" i="10"/>
  <c r="AP22" i="10"/>
  <c r="AQ21" i="9"/>
  <c r="AP21" i="9"/>
  <c r="AL32" i="8"/>
  <c r="AN32" i="8"/>
  <c r="AN28" i="6"/>
  <c r="AL28" i="6"/>
  <c r="AM18" i="5"/>
  <c r="AO18" i="5"/>
  <c r="AO27" i="8"/>
  <c r="AP27" i="8"/>
  <c r="AO6" i="5"/>
  <c r="AM6" i="5"/>
  <c r="AP5" i="7"/>
  <c r="AQ5" i="7"/>
  <c r="AI4" i="1"/>
  <c r="AI34" i="1" s="1"/>
  <c r="AJ4" i="1"/>
  <c r="AO19" i="6"/>
  <c r="AP19" i="6"/>
  <c r="AQ3" i="7"/>
  <c r="AP3" i="7"/>
  <c r="AO17" i="2"/>
  <c r="AP17" i="2"/>
  <c r="AP6" i="7"/>
  <c r="AQ6" i="7"/>
  <c r="AO15" i="2"/>
  <c r="AP15" i="2"/>
  <c r="AJ29" i="1"/>
  <c r="AI29" i="1"/>
  <c r="AP17" i="6" l="1"/>
  <c r="AO17" i="6"/>
  <c r="AQ22" i="7"/>
  <c r="AP22" i="7"/>
  <c r="AQ29" i="7"/>
  <c r="AP29" i="7"/>
  <c r="AP7" i="13"/>
  <c r="AO7" i="13"/>
  <c r="AP2" i="10"/>
  <c r="AO2" i="10"/>
  <c r="AO2" i="8"/>
  <c r="AP2" i="8"/>
  <c r="AQ17" i="12"/>
  <c r="AP17" i="12"/>
  <c r="AP13" i="13"/>
  <c r="AO13" i="13"/>
  <c r="AP32" i="14"/>
  <c r="AO32" i="14"/>
  <c r="AQ26" i="12"/>
  <c r="AP26" i="12"/>
  <c r="AO20" i="10"/>
  <c r="AP20" i="10"/>
  <c r="AO25" i="6"/>
  <c r="AP25" i="6"/>
  <c r="AO4" i="13"/>
  <c r="AP4" i="13"/>
  <c r="AP20" i="8"/>
  <c r="AO20" i="8"/>
  <c r="AP11" i="2"/>
  <c r="AO11" i="2"/>
  <c r="AP15" i="10"/>
  <c r="AO15" i="10"/>
  <c r="AO7" i="8"/>
  <c r="AP7" i="8"/>
  <c r="AP8" i="13"/>
  <c r="AO8" i="13"/>
  <c r="AP5" i="14"/>
  <c r="AO5" i="14"/>
  <c r="AP2" i="13"/>
  <c r="AO2" i="13"/>
  <c r="AP32" i="8"/>
  <c r="AO32" i="8"/>
  <c r="AP11" i="13"/>
  <c r="AO11" i="13"/>
  <c r="AP7" i="6"/>
  <c r="AO7" i="6"/>
  <c r="AO12" i="10"/>
  <c r="AP12" i="10"/>
  <c r="AP31" i="12"/>
  <c r="AQ31" i="12"/>
  <c r="AP9" i="6"/>
  <c r="AO9" i="6"/>
  <c r="AP21" i="8"/>
  <c r="AO21" i="8"/>
  <c r="AP27" i="2"/>
  <c r="AO27" i="2"/>
  <c r="AP6" i="5"/>
  <c r="AQ6" i="5"/>
  <c r="AP10" i="13"/>
  <c r="AO10" i="13"/>
  <c r="AP6" i="13"/>
  <c r="AO6" i="13"/>
  <c r="AQ20" i="12"/>
  <c r="AP20" i="12"/>
  <c r="AP12" i="2"/>
  <c r="AO12" i="2"/>
  <c r="AP31" i="7"/>
  <c r="AQ31" i="7"/>
  <c r="AO18" i="6"/>
  <c r="AP18" i="6"/>
  <c r="AO30" i="10"/>
  <c r="AP30" i="10"/>
  <c r="AP5" i="6"/>
  <c r="AO5" i="6"/>
  <c r="AO18" i="10"/>
  <c r="AP18" i="10"/>
  <c r="AP9" i="12"/>
  <c r="AQ9" i="12"/>
  <c r="AQ14" i="12"/>
  <c r="AP14" i="12"/>
  <c r="AQ18" i="5"/>
  <c r="AP18" i="5"/>
  <c r="AP13" i="7"/>
  <c r="AQ13" i="7"/>
  <c r="AP16" i="5"/>
  <c r="AQ16" i="5"/>
  <c r="AP15" i="7"/>
  <c r="AQ15" i="7"/>
  <c r="AQ7" i="9"/>
  <c r="AP7" i="9"/>
  <c r="AO28" i="6"/>
  <c r="AP28" i="6"/>
  <c r="AP23" i="7"/>
  <c r="AQ23" i="7"/>
  <c r="AP31" i="8"/>
  <c r="AO31" i="8"/>
  <c r="AP24" i="6"/>
  <c r="AO24" i="6"/>
  <c r="AP16" i="10"/>
  <c r="AO16" i="10"/>
  <c r="AQ30" i="12"/>
  <c r="AP30" i="12"/>
  <c r="AP9" i="2"/>
  <c r="AO9" i="2"/>
  <c r="AQ13" i="9"/>
  <c r="AP13" i="9"/>
  <c r="AQ12" i="7"/>
  <c r="AP12" i="7"/>
  <c r="AP12" i="14"/>
  <c r="AO12" i="14"/>
  <c r="AP25" i="2"/>
  <c r="AO25" i="2"/>
  <c r="AQ19" i="7"/>
  <c r="AP19" i="7"/>
  <c r="AP25" i="7"/>
  <c r="AQ25" i="7"/>
  <c r="AO10" i="6"/>
  <c r="AP10" i="6"/>
  <c r="AO10" i="10"/>
  <c r="AP10" i="10"/>
  <c r="AO9" i="10"/>
  <c r="AP9" i="10"/>
  <c r="AP4" i="9"/>
  <c r="AQ4" i="9"/>
  <c r="AP21" i="14"/>
  <c r="AO21" i="14"/>
  <c r="AP8" i="5"/>
  <c r="AQ8" i="5"/>
  <c r="AO7" i="14"/>
  <c r="AP7" i="14"/>
  <c r="AP24" i="14"/>
  <c r="AO24" i="14"/>
  <c r="AP27" i="7"/>
  <c r="AQ27" i="7"/>
  <c r="AQ10" i="5"/>
  <c r="AP10" i="5"/>
  <c r="AP27" i="6"/>
  <c r="AO27" i="6"/>
  <c r="AP24" i="2"/>
  <c r="AO24" i="2"/>
  <c r="AP5" i="9"/>
  <c r="AQ5" i="9"/>
  <c r="AQ12" i="12"/>
  <c r="AP12" i="12"/>
  <c r="AP9" i="13"/>
  <c r="AO9" i="13"/>
  <c r="AP30" i="14"/>
  <c r="AO30" i="14"/>
  <c r="AP20" i="6"/>
  <c r="AO20" i="6"/>
  <c r="AO26" i="10"/>
  <c r="AP26" i="10"/>
  <c r="AQ6" i="9"/>
  <c r="AP6" i="9"/>
  <c r="AO23" i="14"/>
  <c r="AP23" i="14"/>
  <c r="AP17" i="7"/>
  <c r="AQ17" i="7"/>
  <c r="AP7" i="2"/>
  <c r="AO7" i="2"/>
  <c r="AP10" i="2"/>
  <c r="AO10" i="2"/>
  <c r="AO4" i="14"/>
  <c r="AP4" i="14"/>
  <c r="AQ10" i="7"/>
  <c r="AP10" i="7"/>
  <c r="AP17" i="10"/>
  <c r="AO17" i="10"/>
  <c r="AP8" i="6"/>
  <c r="AO8" i="6"/>
  <c r="AP29" i="10"/>
  <c r="AO29" i="10"/>
  <c r="AO19" i="14"/>
  <c r="AP19" i="14"/>
  <c r="AO8" i="8"/>
  <c r="AP8" i="8"/>
  <c r="AP12" i="13"/>
  <c r="AO12" i="13"/>
</calcChain>
</file>

<file path=xl/sharedStrings.xml><?xml version="1.0" encoding="utf-8"?>
<sst xmlns="http://schemas.openxmlformats.org/spreadsheetml/2006/main" count="2478" uniqueCount="213">
  <si>
    <t>Location</t>
  </si>
  <si>
    <t>LPRS</t>
  </si>
  <si>
    <t>Actual LPR</t>
  </si>
  <si>
    <t>Date</t>
  </si>
  <si>
    <t>Issue Date</t>
  </si>
  <si>
    <t>Actual Print Start</t>
  </si>
  <si>
    <t>Sched. Print Start</t>
  </si>
  <si>
    <t>Sched. Print Finish</t>
  </si>
  <si>
    <t>Sched. Last Bundle to RMD</t>
  </si>
  <si>
    <t>Sched. Print Window</t>
  </si>
  <si>
    <t>Sched. Print Start from LPR (min)</t>
  </si>
  <si>
    <t>Sched. Last Bundle to RMD from PF (Min)</t>
  </si>
  <si>
    <t>Actual_Last Bundle to RMD</t>
  </si>
  <si>
    <t>Actual Print Finish</t>
  </si>
  <si>
    <t>LPR to Print Start  (Min)</t>
  </si>
  <si>
    <t>PS  to PF (Min)</t>
  </si>
  <si>
    <t>PF delay / early (Min) from Sched. PF</t>
  </si>
  <si>
    <t>LPR delay / Early (Min) from Sched.LPR</t>
  </si>
  <si>
    <t>PS  delay / Early (Min) from Sched.PS</t>
  </si>
  <si>
    <t>Last Bundle to RMD (min) from Sched. PF</t>
  </si>
  <si>
    <t>Last Bundle to RMD (min) from actual PF</t>
  </si>
  <si>
    <t>Delta From Sched. PW</t>
  </si>
  <si>
    <t>Sched. PS</t>
  </si>
  <si>
    <t>Sched. PF</t>
  </si>
  <si>
    <t>Act PS</t>
  </si>
  <si>
    <t>Act PF</t>
  </si>
  <si>
    <t>Actual PW</t>
  </si>
  <si>
    <t>Last Bundle to RMD</t>
  </si>
  <si>
    <t>Efficiency</t>
  </si>
  <si>
    <t xml:space="preserve">Efficiency
</t>
  </si>
  <si>
    <t>Don’t edit here</t>
  </si>
  <si>
    <t>Internal. PF</t>
  </si>
  <si>
    <t>Ahmedbad</t>
  </si>
  <si>
    <t>Print Order</t>
  </si>
  <si>
    <t>TOI GNP</t>
  </si>
  <si>
    <t>ET GNP</t>
  </si>
  <si>
    <t>NBT GNP</t>
  </si>
  <si>
    <t>MT GNP</t>
  </si>
  <si>
    <t>white space</t>
  </si>
  <si>
    <t>LPR to PS</t>
  </si>
  <si>
    <t>ET GNP ( IF(R2="Yes",-210,0))</t>
  </si>
  <si>
    <t>NBT GNP(IF(S2="Yes",-195,0))</t>
  </si>
  <si>
    <t>MT GNP (IF(T2="Yes",-180,0))</t>
  </si>
  <si>
    <t>Airoli</t>
  </si>
  <si>
    <t>Yes</t>
  </si>
  <si>
    <t>No</t>
  </si>
  <si>
    <t>Actual LPR Baroda</t>
  </si>
  <si>
    <t>Surat Finish</t>
  </si>
  <si>
    <t xml:space="preserve">Surat PF </t>
  </si>
  <si>
    <t>01.06.2025</t>
  </si>
  <si>
    <t>Baroda</t>
  </si>
  <si>
    <t>02.06.2025</t>
  </si>
  <si>
    <t>03.06.2025</t>
  </si>
  <si>
    <t>04.04.2025</t>
  </si>
  <si>
    <t>05.05.2025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</si>
  <si>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</si>
  <si>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</si>
  <si>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</si>
  <si>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</si>
  <si>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</si>
  <si>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</si>
  <si>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</si>
  <si>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</si>
  <si>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</si>
  <si>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</si>
  <si>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</si>
  <si>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</si>
  <si>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</si>
  <si>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</si>
  <si>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</si>
  <si>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</si>
  <si>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</si>
  <si>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</si>
  <si>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</si>
  <si>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</si>
  <si>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</si>
  <si>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</si>
  <si>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</si>
  <si>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</si>
  <si>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</si>
  <si>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Pagination</t>
  </si>
  <si>
    <t>Banglore</t>
  </si>
  <si>
    <t>00:45</t>
  </si>
  <si>
    <t>03:24</t>
  </si>
  <si>
    <t>03:29</t>
  </si>
  <si>
    <t>00:54</t>
  </si>
  <si>
    <t>03:23</t>
  </si>
  <si>
    <t>03:27</t>
  </si>
  <si>
    <t>00:44</t>
  </si>
  <si>
    <t>03:10</t>
  </si>
  <si>
    <t>03:14</t>
  </si>
  <si>
    <t>01:29</t>
  </si>
  <si>
    <t>04:09</t>
  </si>
  <si>
    <t>04:14</t>
  </si>
  <si>
    <t>01:03</t>
  </si>
  <si>
    <t>03:55</t>
  </si>
  <si>
    <t>04:00</t>
  </si>
  <si>
    <t>01:02</t>
  </si>
  <si>
    <t>04:12</t>
  </si>
  <si>
    <t>04:16</t>
  </si>
  <si>
    <t>00:59</t>
  </si>
  <si>
    <t>04:18</t>
  </si>
  <si>
    <t>01:08</t>
  </si>
  <si>
    <t>03:58</t>
  </si>
  <si>
    <t>04:03</t>
  </si>
  <si>
    <t>01:26</t>
  </si>
  <si>
    <t>04:25</t>
  </si>
  <si>
    <t>04:30</t>
  </si>
  <si>
    <t>01:00</t>
  </si>
  <si>
    <t>03:46</t>
  </si>
  <si>
    <t>03:50</t>
  </si>
  <si>
    <t>00:34</t>
  </si>
  <si>
    <t>03:11</t>
  </si>
  <si>
    <t>03:15</t>
  </si>
  <si>
    <t>01:41</t>
  </si>
  <si>
    <t>04:08</t>
  </si>
  <si>
    <t>04:13</t>
  </si>
  <si>
    <t>01:05</t>
  </si>
  <si>
    <t>03:59</t>
  </si>
  <si>
    <t>04:04</t>
  </si>
  <si>
    <t>00:58</t>
  </si>
  <si>
    <t>04:05</t>
  </si>
  <si>
    <t>04:10</t>
  </si>
  <si>
    <t>00:52</t>
  </si>
  <si>
    <t>03:48</t>
  </si>
  <si>
    <t>03:53</t>
  </si>
  <si>
    <t>00:25</t>
  </si>
  <si>
    <t>03:30</t>
  </si>
  <si>
    <t>03:35</t>
  </si>
  <si>
    <t>00:39</t>
  </si>
  <si>
    <t>03:18</t>
  </si>
  <si>
    <t>00:35</t>
  </si>
  <si>
    <t>04:17</t>
  </si>
  <si>
    <t>04:21</t>
  </si>
  <si>
    <t>00:37</t>
  </si>
  <si>
    <t>03:28</t>
  </si>
  <si>
    <t>00:56</t>
  </si>
  <si>
    <t>03:44</t>
  </si>
  <si>
    <t>03:49</t>
  </si>
  <si>
    <t>00:46</t>
  </si>
  <si>
    <t>03:40</t>
  </si>
  <si>
    <t>03:16</t>
  </si>
  <si>
    <t>03:33</t>
  </si>
  <si>
    <t>03:26</t>
  </si>
  <si>
    <t>03:54</t>
  </si>
  <si>
    <t>00:43</t>
  </si>
  <si>
    <t>03:20</t>
  </si>
  <si>
    <t>03:21</t>
  </si>
  <si>
    <t>CT GNP</t>
  </si>
  <si>
    <t>Int PF</t>
  </si>
  <si>
    <t>Chennai</t>
  </si>
  <si>
    <t>TIMS GNP</t>
  </si>
  <si>
    <t>TIMS GNP(IF(S2="Yes",-195,0))</t>
  </si>
  <si>
    <t>Hyderabad</t>
  </si>
  <si>
    <t>NO</t>
  </si>
  <si>
    <t>Effective speed</t>
  </si>
  <si>
    <t>Kandivali</t>
  </si>
  <si>
    <t>Kolkata</t>
  </si>
  <si>
    <t>Lucknow</t>
  </si>
  <si>
    <t>Manesar</t>
  </si>
  <si>
    <t>PF (Internal Traget)</t>
  </si>
  <si>
    <t>Nagpur</t>
  </si>
  <si>
    <t>00:40</t>
  </si>
  <si>
    <t>01:52</t>
  </si>
  <si>
    <t>01:44</t>
  </si>
  <si>
    <t>03:03</t>
  </si>
  <si>
    <t>01:39</t>
  </si>
  <si>
    <t>02:04</t>
  </si>
  <si>
    <t>01:40</t>
  </si>
  <si>
    <t>01:37</t>
  </si>
  <si>
    <t>01:47</t>
  </si>
  <si>
    <t>02:10</t>
  </si>
  <si>
    <t>02:13</t>
  </si>
  <si>
    <t>01:54</t>
  </si>
  <si>
    <t>01:35</t>
  </si>
  <si>
    <t>01:36</t>
  </si>
  <si>
    <t>01:30</t>
  </si>
  <si>
    <t>01:58</t>
  </si>
  <si>
    <t>00:48</t>
  </si>
  <si>
    <t>02:30</t>
  </si>
  <si>
    <t>01:28</t>
  </si>
  <si>
    <t>Date+A1:AD27</t>
  </si>
  <si>
    <t>TOI GNP ( IF(R2="Yes",-210,0))</t>
  </si>
  <si>
    <t>TOI Reflong (IF(T2="Yes",-180,0))</t>
  </si>
  <si>
    <t>Pune</t>
  </si>
  <si>
    <t>Sahibabad</t>
  </si>
  <si>
    <t>Trivandrum</t>
  </si>
  <si>
    <t xml:space="preserve"> </t>
  </si>
  <si>
    <t>#A9D08E</t>
  </si>
  <si>
    <t>#FF5050</t>
  </si>
  <si>
    <t>#FFC7CE</t>
  </si>
  <si>
    <t>Average</t>
  </si>
  <si>
    <t>Z score</t>
  </si>
  <si>
    <t>Stdev</t>
  </si>
  <si>
    <t>No. of outliers</t>
  </si>
  <si>
    <t>abs(z score)</t>
  </si>
  <si>
    <t>Std. Deviation</t>
  </si>
  <si>
    <t>TVM</t>
  </si>
  <si>
    <t>NAG</t>
  </si>
  <si>
    <t>CHE</t>
  </si>
  <si>
    <t>PUN</t>
  </si>
  <si>
    <t>KOL</t>
  </si>
  <si>
    <t>AHM</t>
  </si>
  <si>
    <t>AIR</t>
  </si>
  <si>
    <t>LUC</t>
  </si>
  <si>
    <t>SBD</t>
  </si>
  <si>
    <t>KND</t>
  </si>
  <si>
    <t>HYD</t>
  </si>
  <si>
    <t>BLR</t>
  </si>
  <si>
    <t>MSR</t>
  </si>
  <si>
    <t>BAR</t>
  </si>
  <si>
    <t>Median</t>
  </si>
  <si>
    <t>Average Efficiency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</si>
</sst>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dd\ mmm\ yy"/>
    <numFmt numFmtId="166" formatCode="dd"/>
    <numFmt numFmtId="167" formatCode="_(* #,##0_);_(* \(#,##0\);_(* &quot;-&quot;??_);_(@_)"/>
    <numFmt numFmtId="168" formatCode="[$-14009]hh:mm;@"/>
    <numFmt numFmtId="169" formatCode="dd\ mmm"/>
    <numFmt numFmtId="170" formatCode="#"/>
    <numFmt numFmtId="171" formatCode="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2"/>
      <color rgb="FF000000"/>
      <name val="Calibri"/>
      <family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1"/>
    </font>
    <font>
      <sz val="10"/>
      <name val="Arial"/>
    </font>
    <font>
      <sz val="11"/>
      <name val="Calibri"/>
      <family val="2"/>
      <scheme val="minor"/>
    </font>
    <font>
      <sz val="10"/>
      <name val="Helvetica Narrow"/>
      <family val="2"/>
    </font>
    <font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17600024414813E-2"/>
      </right>
      <top/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/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/>
      <right/>
      <top/>
      <bottom style="thin">
        <color indexed="6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1" fillId="0" borderId="0"/>
    <xf numFmtId="9" fontId="21" fillId="0" borderId="0" applyFont="0" applyFill="0" applyBorder="0" applyAlignment="0" applyProtection="0"/>
    <xf numFmtId="0" fontId="2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23" fillId="0" borderId="0"/>
    <xf numFmtId="0" fontId="26" fillId="0" borderId="0"/>
    <xf numFmtId="0" fontId="23" fillId="0" borderId="0"/>
  </cellStyleXfs>
  <cellXfs count="152">
    <xf numFmtId="0" fontId="0" fillId="0" borderId="0" xfId="0"/>
    <xf numFmtId="165" fontId="0" fillId="0" borderId="0" xfId="0" applyNumberFormat="1"/>
    <xf numFmtId="20" fontId="0" fillId="0" borderId="0" xfId="0" applyNumberFormat="1"/>
    <xf numFmtId="165" fontId="0" fillId="0" borderId="1" xfId="0" applyNumberFormat="1" applyBorder="1" applyAlignment="1">
      <alignment horizontal="center" vertical="top" wrapText="1"/>
    </xf>
    <xf numFmtId="1" fontId="0" fillId="2" borderId="1" xfId="0" applyNumberFormat="1" applyFill="1" applyBorder="1"/>
    <xf numFmtId="20" fontId="0" fillId="2" borderId="11" xfId="0" applyNumberFormat="1" applyFill="1" applyBorder="1" applyAlignment="1">
      <alignment horizontal="right"/>
    </xf>
    <xf numFmtId="0" fontId="0" fillId="0" borderId="12" xfId="0" applyBorder="1" applyAlignment="1">
      <alignment horizontal="center" vertical="top" wrapText="1"/>
    </xf>
    <xf numFmtId="1" fontId="0" fillId="0" borderId="12" xfId="0" applyNumberFormat="1" applyBorder="1"/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65" fontId="0" fillId="2" borderId="1" xfId="0" applyNumberForma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1" fontId="16" fillId="2" borderId="1" xfId="0" applyNumberFormat="1" applyFont="1" applyFill="1" applyBorder="1"/>
    <xf numFmtId="1" fontId="0" fillId="0" borderId="0" xfId="0" applyNumberFormat="1"/>
    <xf numFmtId="1" fontId="16" fillId="2" borderId="0" xfId="0" applyNumberFormat="1" applyFont="1" applyFill="1"/>
    <xf numFmtId="1" fontId="0" fillId="2" borderId="0" xfId="0" applyNumberFormat="1" applyFill="1"/>
    <xf numFmtId="0" fontId="0" fillId="0" borderId="15" xfId="0" applyBorder="1" applyAlignment="1">
      <alignment wrapText="1"/>
    </xf>
    <xf numFmtId="0" fontId="14" fillId="0" borderId="14" xfId="0" applyFont="1" applyBorder="1" applyAlignment="1">
      <alignment horizontal="center"/>
    </xf>
    <xf numFmtId="1" fontId="14" fillId="0" borderId="15" xfId="0" applyNumberFormat="1" applyFont="1" applyBorder="1"/>
    <xf numFmtId="0" fontId="14" fillId="0" borderId="15" xfId="0" applyFont="1" applyBorder="1"/>
    <xf numFmtId="0" fontId="0" fillId="34" borderId="0" xfId="0" applyFill="1" applyAlignment="1">
      <alignment horizontal="left" vertical="top" wrapText="1"/>
    </xf>
    <xf numFmtId="0" fontId="0" fillId="0" borderId="14" xfId="0" applyBorder="1" applyAlignment="1">
      <alignment horizontal="center" wrapText="1"/>
    </xf>
    <xf numFmtId="1" fontId="0" fillId="34" borderId="1" xfId="0" applyNumberFormat="1" applyFill="1" applyBorder="1"/>
    <xf numFmtId="1" fontId="16" fillId="34" borderId="1" xfId="0" applyNumberFormat="1" applyFont="1" applyFill="1" applyBorder="1"/>
    <xf numFmtId="1" fontId="16" fillId="34" borderId="0" xfId="0" applyNumberFormat="1" applyFont="1" applyFill="1"/>
    <xf numFmtId="0" fontId="0" fillId="34" borderId="0" xfId="0" applyFill="1"/>
    <xf numFmtId="0" fontId="14" fillId="34" borderId="14" xfId="0" applyFont="1" applyFill="1" applyBorder="1" applyAlignment="1">
      <alignment horizontal="center"/>
    </xf>
    <xf numFmtId="1" fontId="14" fillId="34" borderId="15" xfId="0" applyNumberFormat="1" applyFont="1" applyFill="1" applyBorder="1"/>
    <xf numFmtId="0" fontId="14" fillId="34" borderId="15" xfId="0" applyFont="1" applyFill="1" applyBorder="1"/>
    <xf numFmtId="166" fontId="0" fillId="0" borderId="1" xfId="0" applyNumberFormat="1" applyBorder="1"/>
    <xf numFmtId="165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/>
    <xf numFmtId="1" fontId="0" fillId="2" borderId="1" xfId="0" applyNumberFormat="1" applyFill="1" applyBorder="1" applyAlignment="1">
      <alignment horizontal="right"/>
    </xf>
    <xf numFmtId="20" fontId="0" fillId="0" borderId="1" xfId="0" applyNumberFormat="1" applyBorder="1" applyAlignment="1">
      <alignment horizontal="right"/>
    </xf>
    <xf numFmtId="1" fontId="0" fillId="0" borderId="1" xfId="0" applyNumberFormat="1" applyBorder="1"/>
    <xf numFmtId="20" fontId="0" fillId="0" borderId="1" xfId="0" applyNumberFormat="1" applyBorder="1"/>
    <xf numFmtId="20" fontId="0" fillId="2" borderId="13" xfId="0" applyNumberFormat="1" applyFill="1" applyBorder="1" applyAlignment="1">
      <alignment horizontal="right"/>
    </xf>
    <xf numFmtId="20" fontId="0" fillId="2" borderId="1" xfId="0" applyNumberFormat="1" applyFill="1" applyBorder="1" applyAlignment="1">
      <alignment horizontal="right"/>
    </xf>
    <xf numFmtId="0" fontId="0" fillId="2" borderId="1" xfId="0" applyFill="1" applyBorder="1"/>
    <xf numFmtId="0" fontId="14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wrapText="1"/>
    </xf>
    <xf numFmtId="168" fontId="0" fillId="0" borderId="0" xfId="0" applyNumberFormat="1" applyAlignment="1">
      <alignment horizontal="right"/>
    </xf>
    <xf numFmtId="168" fontId="25" fillId="0" borderId="0" xfId="0" applyNumberFormat="1" applyFont="1" applyAlignment="1">
      <alignment horizontal="right"/>
    </xf>
    <xf numFmtId="2" fontId="0" fillId="0" borderId="0" xfId="0" applyNumberFormat="1"/>
    <xf numFmtId="2" fontId="0" fillId="2" borderId="0" xfId="0" applyNumberFormat="1" applyFill="1"/>
    <xf numFmtId="0" fontId="0" fillId="0" borderId="17" xfId="0" applyBorder="1" applyAlignment="1">
      <alignment horizontal="center"/>
    </xf>
    <xf numFmtId="20" fontId="0" fillId="0" borderId="18" xfId="0" applyNumberFormat="1" applyBorder="1"/>
    <xf numFmtId="0" fontId="25" fillId="0" borderId="0" xfId="53" applyFont="1"/>
    <xf numFmtId="168" fontId="26" fillId="0" borderId="0" xfId="54" applyNumberFormat="1" applyAlignment="1">
      <alignment horizontal="right" vertical="top"/>
    </xf>
    <xf numFmtId="0" fontId="26" fillId="0" borderId="0" xfId="54" applyAlignment="1">
      <alignment horizontal="right" vertical="top"/>
    </xf>
    <xf numFmtId="166" fontId="0" fillId="34" borderId="1" xfId="0" applyNumberFormat="1" applyFill="1" applyBorder="1"/>
    <xf numFmtId="1" fontId="0" fillId="34" borderId="1" xfId="0" applyNumberFormat="1" applyFill="1" applyBorder="1" applyAlignment="1">
      <alignment horizontal="right"/>
    </xf>
    <xf numFmtId="1" fontId="0" fillId="34" borderId="12" xfId="0" applyNumberFormat="1" applyFill="1" applyBorder="1"/>
    <xf numFmtId="20" fontId="0" fillId="34" borderId="1" xfId="0" applyNumberFormat="1" applyFill="1" applyBorder="1"/>
    <xf numFmtId="0" fontId="0" fillId="34" borderId="1" xfId="0" applyFill="1" applyBorder="1"/>
    <xf numFmtId="20" fontId="25" fillId="0" borderId="0" xfId="53" applyNumberFormat="1" applyFont="1"/>
    <xf numFmtId="166" fontId="0" fillId="35" borderId="1" xfId="0" applyNumberFormat="1" applyFill="1" applyBorder="1"/>
    <xf numFmtId="1" fontId="0" fillId="35" borderId="1" xfId="0" applyNumberFormat="1" applyFill="1" applyBorder="1" applyAlignment="1">
      <alignment horizontal="right"/>
    </xf>
    <xf numFmtId="1" fontId="0" fillId="35" borderId="12" xfId="0" applyNumberFormat="1" applyFill="1" applyBorder="1"/>
    <xf numFmtId="20" fontId="0" fillId="35" borderId="1" xfId="0" applyNumberFormat="1" applyFill="1" applyBorder="1"/>
    <xf numFmtId="1" fontId="16" fillId="35" borderId="1" xfId="0" applyNumberFormat="1" applyFont="1" applyFill="1" applyBorder="1"/>
    <xf numFmtId="0" fontId="0" fillId="35" borderId="1" xfId="0" applyFill="1" applyBorder="1"/>
    <xf numFmtId="1" fontId="0" fillId="35" borderId="1" xfId="0" applyNumberFormat="1" applyFill="1" applyBorder="1"/>
    <xf numFmtId="1" fontId="16" fillId="35" borderId="0" xfId="0" applyNumberFormat="1" applyFont="1" applyFill="1"/>
    <xf numFmtId="0" fontId="0" fillId="35" borderId="0" xfId="0" applyFill="1"/>
    <xf numFmtId="0" fontId="14" fillId="35" borderId="14" xfId="0" applyFont="1" applyFill="1" applyBorder="1" applyAlignment="1">
      <alignment horizontal="center"/>
    </xf>
    <xf numFmtId="1" fontId="14" fillId="35" borderId="15" xfId="0" applyNumberFormat="1" applyFont="1" applyFill="1" applyBorder="1"/>
    <xf numFmtId="0" fontId="14" fillId="35" borderId="15" xfId="0" applyFont="1" applyFill="1" applyBorder="1"/>
    <xf numFmtId="20" fontId="23" fillId="0" borderId="0" xfId="53" applyNumberFormat="1" applyAlignment="1">
      <alignment horizontal="center" vertical="center"/>
    </xf>
    <xf numFmtId="0" fontId="25" fillId="0" borderId="0" xfId="0" applyFont="1"/>
    <xf numFmtId="20" fontId="27" fillId="0" borderId="0" xfId="0" applyNumberFormat="1" applyFont="1"/>
    <xf numFmtId="20" fontId="25" fillId="0" borderId="0" xfId="0" applyNumberFormat="1" applyFont="1"/>
    <xf numFmtId="20" fontId="0" fillId="36" borderId="19" xfId="0" applyNumberFormat="1" applyFill="1" applyBorder="1" applyAlignment="1">
      <alignment horizontal="right"/>
    </xf>
    <xf numFmtId="0" fontId="0" fillId="0" borderId="18" xfId="0" applyBorder="1"/>
    <xf numFmtId="20" fontId="0" fillId="36" borderId="18" xfId="0" applyNumberFormat="1" applyFill="1" applyBorder="1" applyAlignment="1">
      <alignment horizontal="right"/>
    </xf>
    <xf numFmtId="20" fontId="0" fillId="0" borderId="18" xfId="0" applyNumberFormat="1" applyBorder="1" applyAlignment="1">
      <alignment horizontal="right"/>
    </xf>
    <xf numFmtId="2" fontId="14" fillId="0" borderId="0" xfId="0" applyNumberFormat="1" applyFont="1"/>
    <xf numFmtId="0" fontId="0" fillId="2" borderId="20" xfId="0" applyFill="1" applyBorder="1" applyAlignment="1">
      <alignment horizontal="left" vertical="top" wrapText="1"/>
    </xf>
    <xf numFmtId="2" fontId="0" fillId="2" borderId="20" xfId="0" applyNumberFormat="1" applyFill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20" fontId="16" fillId="2" borderId="11" xfId="0" applyNumberFormat="1" applyFont="1" applyFill="1" applyBorder="1" applyAlignment="1">
      <alignment horizontal="right"/>
    </xf>
    <xf numFmtId="20" fontId="16" fillId="2" borderId="13" xfId="0" applyNumberFormat="1" applyFont="1" applyFill="1" applyBorder="1" applyAlignment="1">
      <alignment horizontal="right"/>
    </xf>
    <xf numFmtId="2" fontId="16" fillId="2" borderId="0" xfId="0" applyNumberFormat="1" applyFont="1" applyFill="1"/>
    <xf numFmtId="0" fontId="0" fillId="34" borderId="13" xfId="0" applyFill="1" applyBorder="1" applyAlignment="1">
      <alignment horizontal="left" vertical="top" wrapText="1"/>
    </xf>
    <xf numFmtId="0" fontId="0" fillId="34" borderId="1" xfId="0" applyFill="1" applyBorder="1" applyAlignment="1">
      <alignment horizontal="left" vertical="top" wrapText="1"/>
    </xf>
    <xf numFmtId="2" fontId="28" fillId="0" borderId="18" xfId="0" applyNumberFormat="1" applyFont="1" applyBorder="1" applyAlignment="1">
      <alignment horizontal="center" vertical="center"/>
    </xf>
    <xf numFmtId="20" fontId="0" fillId="36" borderId="1" xfId="0" applyNumberFormat="1" applyFill="1" applyBorder="1"/>
    <xf numFmtId="20" fontId="0" fillId="37" borderId="1" xfId="0" applyNumberFormat="1" applyFill="1" applyBorder="1"/>
    <xf numFmtId="1" fontId="16" fillId="38" borderId="1" xfId="0" applyNumberFormat="1" applyFont="1" applyFill="1" applyBorder="1"/>
    <xf numFmtId="1" fontId="16" fillId="39" borderId="1" xfId="0" applyNumberFormat="1" applyFont="1" applyFill="1" applyBorder="1"/>
    <xf numFmtId="168" fontId="27" fillId="0" borderId="0" xfId="0" applyNumberFormat="1" applyFont="1" applyAlignment="1">
      <alignment horizontal="right"/>
    </xf>
    <xf numFmtId="1" fontId="0" fillId="39" borderId="0" xfId="0" applyNumberFormat="1" applyFill="1"/>
    <xf numFmtId="165" fontId="0" fillId="0" borderId="1" xfId="0" applyNumberForma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20" fontId="0" fillId="2" borderId="0" xfId="0" applyNumberFormat="1" applyFill="1"/>
    <xf numFmtId="1" fontId="14" fillId="0" borderId="15" xfId="0" applyNumberFormat="1" applyFont="1" applyBorder="1" applyAlignment="1">
      <alignment vertical="center"/>
    </xf>
    <xf numFmtId="1" fontId="24" fillId="2" borderId="1" xfId="0" applyNumberFormat="1" applyFont="1" applyFill="1" applyBorder="1"/>
    <xf numFmtId="2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0" fontId="0" fillId="0" borderId="11" xfId="0" applyNumberFormat="1" applyBorder="1" applyAlignment="1">
      <alignment horizontal="right"/>
    </xf>
    <xf numFmtId="20" fontId="0" fillId="0" borderId="11" xfId="0" applyNumberFormat="1" applyBorder="1"/>
    <xf numFmtId="1" fontId="16" fillId="0" borderId="0" xfId="0" applyNumberFormat="1" applyFont="1"/>
    <xf numFmtId="0" fontId="14" fillId="0" borderId="0" xfId="0" applyFont="1" applyAlignment="1">
      <alignment horizontal="center"/>
    </xf>
    <xf numFmtId="1" fontId="14" fillId="0" borderId="0" xfId="0" applyNumberFormat="1" applyFont="1"/>
    <xf numFmtId="2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23" fillId="0" borderId="0" xfId="55" applyNumberFormat="1"/>
    <xf numFmtId="165" fontId="0" fillId="39" borderId="1" xfId="0" applyNumberFormat="1" applyFill="1" applyBorder="1"/>
    <xf numFmtId="0" fontId="0" fillId="39" borderId="1" xfId="0" applyFill="1" applyBorder="1" applyAlignment="1">
      <alignment horizontal="center"/>
    </xf>
    <xf numFmtId="20" fontId="0" fillId="39" borderId="1" xfId="0" applyNumberFormat="1" applyFill="1" applyBorder="1"/>
    <xf numFmtId="1" fontId="0" fillId="39" borderId="1" xfId="0" applyNumberFormat="1" applyFill="1" applyBorder="1" applyAlignment="1">
      <alignment horizontal="right"/>
    </xf>
    <xf numFmtId="1" fontId="0" fillId="39" borderId="1" xfId="0" applyNumberFormat="1" applyFill="1" applyBorder="1"/>
    <xf numFmtId="1" fontId="16" fillId="0" borderId="1" xfId="0" applyNumberFormat="1" applyFont="1" applyBorder="1"/>
    <xf numFmtId="0" fontId="0" fillId="0" borderId="1" xfId="0" applyBorder="1"/>
    <xf numFmtId="0" fontId="0" fillId="2" borderId="21" xfId="0" applyFill="1" applyBorder="1" applyAlignment="1">
      <alignment horizontal="left" vertical="top" wrapText="1"/>
    </xf>
    <xf numFmtId="20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0" fontId="27" fillId="0" borderId="18" xfId="0" applyNumberFormat="1" applyFont="1" applyBorder="1" applyAlignment="1">
      <alignment horizontal="center"/>
    </xf>
    <xf numFmtId="20" fontId="27" fillId="40" borderId="18" xfId="0" applyNumberFormat="1" applyFont="1" applyFill="1" applyBorder="1" applyAlignment="1">
      <alignment horizontal="center"/>
    </xf>
    <xf numFmtId="20" fontId="0" fillId="40" borderId="18" xfId="0" applyNumberFormat="1" applyFill="1" applyBorder="1" applyAlignment="1">
      <alignment horizontal="center"/>
    </xf>
    <xf numFmtId="20" fontId="0" fillId="2" borderId="22" xfId="0" applyNumberFormat="1" applyFill="1" applyBorder="1" applyAlignment="1">
      <alignment horizontal="right"/>
    </xf>
    <xf numFmtId="0" fontId="0" fillId="2" borderId="23" xfId="0" applyFill="1" applyBorder="1" applyAlignment="1">
      <alignment horizontal="center"/>
    </xf>
    <xf numFmtId="1" fontId="0" fillId="2" borderId="23" xfId="0" applyNumberFormat="1" applyFill="1" applyBorder="1" applyAlignment="1">
      <alignment horizontal="right"/>
    </xf>
    <xf numFmtId="1" fontId="0" fillId="0" borderId="23" xfId="0" applyNumberFormat="1" applyBorder="1"/>
    <xf numFmtId="1" fontId="0" fillId="2" borderId="23" xfId="0" applyNumberFormat="1" applyFill="1" applyBorder="1"/>
    <xf numFmtId="20" fontId="0" fillId="2" borderId="18" xfId="0" applyNumberFormat="1" applyFill="1" applyBorder="1"/>
    <xf numFmtId="0" fontId="16" fillId="41" borderId="18" xfId="0" applyFont="1" applyFill="1" applyBorder="1" applyAlignment="1">
      <alignment horizontal="center" vertical="center" wrapText="1"/>
    </xf>
    <xf numFmtId="0" fontId="16" fillId="41" borderId="18" xfId="0" applyFont="1" applyFill="1" applyBorder="1" applyAlignment="1">
      <alignment vertical="center"/>
    </xf>
    <xf numFmtId="169" fontId="16" fillId="2" borderId="18" xfId="0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/>
    <xf numFmtId="170" fontId="29" fillId="0" borderId="18" xfId="0" applyNumberFormat="1" applyFont="1" applyBorder="1"/>
    <xf numFmtId="171" fontId="0" fillId="0" borderId="0" xfId="0" applyNumberFormat="1"/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5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95A86FCE-8415-4E02-B554-84E54960F7E6}"/>
    <cellStyle name="Comma 2 2" xfId="45" xr:uid="{A78C85C0-F4D0-4DB5-A794-FBD9377D19AA}"/>
    <cellStyle name="Comma 3" xfId="49" xr:uid="{872FF4D7-C7C8-4BA7-8408-EBA87E88EDFB}"/>
    <cellStyle name="Comma 4" xfId="50" xr:uid="{E35459B1-A4C5-4DAC-80CB-489157BFFAE0}"/>
    <cellStyle name="Comma 5" xfId="51" xr:uid="{024F36AB-F7EB-450B-8302-8042544DB2E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E0163A5-285A-4707-B38A-EB064926256A}"/>
    <cellStyle name="Normal 2 2" xfId="43" xr:uid="{DA1A3970-7EC4-44FA-B839-8C5BDE993B84}"/>
    <cellStyle name="Normal 2 2 2" xfId="52" xr:uid="{295CAF05-4741-4305-9A8F-CE02138AA5F2}"/>
    <cellStyle name="Normal 2 3" xfId="46" xr:uid="{F69FDC62-C6BE-4CB2-821A-8C2600C49158}"/>
    <cellStyle name="Normal 3" xfId="48" xr:uid="{A4891D2B-5370-4AA2-B86D-867360630587}"/>
    <cellStyle name="Normal 3 2" xfId="53" xr:uid="{463D0B39-3BBE-4FA1-A276-E24BB64E0173}"/>
    <cellStyle name="Normal 4" xfId="54" xr:uid="{DCC77617-9303-4533-A610-7BEA75109414}"/>
    <cellStyle name="Normal 6" xfId="55" xr:uid="{923F94B8-C10B-489F-939E-12B29D9EACCE}"/>
    <cellStyle name="Note" xfId="15" builtinId="10" customBuiltin="1"/>
    <cellStyle name="Output" xfId="10" builtinId="21" customBuiltin="1"/>
    <cellStyle name="Percent 2" xfId="47" xr:uid="{619C2C3F-01E9-45A4-BEE8-B9D60D7435D9}"/>
    <cellStyle name="Title" xfId="1" builtinId="15" customBuiltin="1"/>
    <cellStyle name="Total" xfId="17" builtinId="25" customBuiltin="1"/>
    <cellStyle name="Warning Text" xfId="14" builtinId="11" customBuiltin="1"/>
  </cellStyles>
  <dxfs count="123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FF5050"/>
        </patternFill>
      </fill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A9D08E"/>
      <color rgb="FFFF505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Average Efficiency (mins)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Sheet1!$A$39:$A$52</c:f>
              <c:strCache>
                <c:ptCount val="14"/>
                <c:pt idx="0">
                  <c:v>AHM</c:v>
                </c:pt>
                <c:pt idx="1">
                  <c:v>AIR</c:v>
                </c:pt>
                <c:pt idx="2">
                  <c:v>BLR</c:v>
                </c:pt>
                <c:pt idx="3">
                  <c:v>CHE</c:v>
                </c:pt>
                <c:pt idx="4">
                  <c:v>HYD</c:v>
                </c:pt>
                <c:pt idx="5">
                  <c:v>KND</c:v>
                </c:pt>
                <c:pt idx="6">
                  <c:v>KOL</c:v>
                </c:pt>
                <c:pt idx="7">
                  <c:v>LUC</c:v>
                </c:pt>
                <c:pt idx="8">
                  <c:v>NAG</c:v>
                </c:pt>
                <c:pt idx="9">
                  <c:v>PUN</c:v>
                </c:pt>
                <c:pt idx="10">
                  <c:v>SBD</c:v>
                </c:pt>
                <c:pt idx="11">
                  <c:v>MSR</c:v>
                </c:pt>
                <c:pt idx="12">
                  <c:v>BAR</c:v>
                </c:pt>
                <c:pt idx="13">
                  <c:v>TVM</c:v>
                </c:pt>
              </c:strCache>
            </c:strRef>
          </c:cat>
          <c:val>
            <c:numRef>
              <c:f>Sheet1!$B$39:$B$52</c:f>
              <c:numCache>
                <c:formatCode>0</c:formatCode>
                <c:ptCount val="14"/>
                <c:pt idx="0">
                  <c:v>88.86666666666666</c:v>
                </c:pt>
                <c:pt idx="1">
                  <c:v>87.500000000000014</c:v>
                </c:pt>
                <c:pt idx="2">
                  <c:v>56.766666666666659</c:v>
                </c:pt>
                <c:pt idx="3">
                  <c:v>94.533333333333317</c:v>
                </c:pt>
                <c:pt idx="4">
                  <c:v>59.166666666666671</c:v>
                </c:pt>
                <c:pt idx="5">
                  <c:v>68.13333333333334</c:v>
                </c:pt>
                <c:pt idx="6">
                  <c:v>89.466666666666669</c:v>
                </c:pt>
                <c:pt idx="7">
                  <c:v>84.58620689655173</c:v>
                </c:pt>
                <c:pt idx="8">
                  <c:v>95.833333333333286</c:v>
                </c:pt>
                <c:pt idx="9">
                  <c:v>91.066666666666663</c:v>
                </c:pt>
                <c:pt idx="10">
                  <c:v>69</c:v>
                </c:pt>
                <c:pt idx="11">
                  <c:v>51.700000000000017</c:v>
                </c:pt>
                <c:pt idx="12">
                  <c:v>29.600000000001096</c:v>
                </c:pt>
                <c:pt idx="13">
                  <c:v>100.44827586206897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E2F-BDE8-BB3ADA4D5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48"/>
        <c:axId val="1910916047"/>
        <c:axId val="1910915087"/>
      </c:barChart>
      <c:catAx>
        <c:axId val="191091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915087"/>
        <c:crosses val="autoZero"/>
        <c:auto val="1"/>
        <c:lblAlgn val="ctr"/>
        <c:lblOffset val="100"/>
        <c:noMultiLvlLbl val="0"/>
      </c:catAx>
      <c:valAx>
        <c:axId val="19109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91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37</xdr:row>
      <xdr:rowOff>128587</xdr:rowOff>
    </xdr:from>
    <xdr:to>
      <xdr:col>11</xdr:col>
      <xdr:colOff>542925</xdr:colOff>
      <xdr:row>52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48160-9C29-55C8-45A9-378819A3C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BB55-D994-4038-A30A-83DDDCE5D658}">
  <dimension ref="A1:AE21"/>
  <sheetViews>
    <sheetView workbookViewId="0">
      <selection activeCell="M17" sqref="M17"/>
    </sheetView>
  </sheetViews>
  <sheetFormatPr defaultRowHeight="14.5"/>
  <cols>
    <col min="1" max="1" width="11.1796875" bestFit="1" customWidth="1"/>
    <col min="2" max="31" width="6.453125" style="145" bestFit="1" customWidth="1"/>
  </cols>
  <sheetData>
    <row r="1" spans="1:31">
      <c r="A1" s="77" t="s">
        <v>32</v>
      </c>
      <c r="B1" s="146">
        <v>0.10694444444444444</v>
      </c>
      <c r="C1" s="146">
        <v>0.10347222222222222</v>
      </c>
      <c r="D1" s="146">
        <v>0.10277777777777777</v>
      </c>
      <c r="E1" s="146">
        <v>0.1388888888888889</v>
      </c>
      <c r="F1" s="146">
        <v>0.10138888888888889</v>
      </c>
      <c r="G1" s="146">
        <v>0.10208333333333333</v>
      </c>
      <c r="H1" s="146">
        <v>0.1</v>
      </c>
      <c r="I1" s="146">
        <v>0.10277777777777777</v>
      </c>
      <c r="J1" s="146">
        <v>0.10833333333333334</v>
      </c>
      <c r="K1" s="146">
        <v>0.10277777777777777</v>
      </c>
      <c r="L1" s="146">
        <v>0.10625</v>
      </c>
      <c r="M1" s="146">
        <v>0.10138888888888889</v>
      </c>
      <c r="N1" s="146">
        <v>0.16319444444444445</v>
      </c>
      <c r="O1" s="146">
        <v>0.15625</v>
      </c>
      <c r="P1" s="146">
        <v>0.12916666666666668</v>
      </c>
      <c r="Q1" s="146">
        <v>0.13055555555555556</v>
      </c>
      <c r="R1" s="146">
        <v>0.10277777777777777</v>
      </c>
      <c r="S1" s="146">
        <v>0.11874999999999999</v>
      </c>
      <c r="T1" s="146">
        <v>0.10416666666666667</v>
      </c>
      <c r="U1" s="146">
        <v>0.10902777777777778</v>
      </c>
      <c r="V1" s="146">
        <v>0.10486111111111111</v>
      </c>
      <c r="W1" s="146">
        <v>0.10416666666666667</v>
      </c>
      <c r="X1" s="146">
        <v>0.10902777777777778</v>
      </c>
      <c r="Y1" s="146">
        <v>0.10833333333333334</v>
      </c>
      <c r="Z1" s="146">
        <v>0.10972222222222222</v>
      </c>
      <c r="AA1" s="146">
        <v>0.12916666666666668</v>
      </c>
      <c r="AB1" s="146">
        <v>0.10972222222222222</v>
      </c>
      <c r="AC1" s="146">
        <v>0.1111111111111111</v>
      </c>
      <c r="AD1" s="146">
        <v>0.11180555555555556</v>
      </c>
      <c r="AE1" s="146">
        <v>0.10416666666666667</v>
      </c>
    </row>
    <row r="2" spans="1:31">
      <c r="A2" s="77" t="s">
        <v>43</v>
      </c>
      <c r="B2" s="146">
        <v>0.14791666666666667</v>
      </c>
      <c r="C2" s="146">
        <v>0.12638888888888888</v>
      </c>
      <c r="D2" s="146">
        <v>0.12152777777777778</v>
      </c>
      <c r="E2" s="146">
        <v>0.15277777777777779</v>
      </c>
      <c r="F2" s="146">
        <v>0.15833333333333333</v>
      </c>
      <c r="G2" s="146">
        <v>0.15347222222222223</v>
      </c>
      <c r="H2" s="146">
        <v>0.13541666666666666</v>
      </c>
      <c r="I2" s="146">
        <v>0.16250000000000001</v>
      </c>
      <c r="J2" s="146">
        <v>0.14374999999999999</v>
      </c>
      <c r="K2" s="146">
        <v>0.12916666666666668</v>
      </c>
      <c r="L2" s="146">
        <v>0.13958333333333334</v>
      </c>
      <c r="M2" s="146">
        <v>0.13263888888888889</v>
      </c>
      <c r="N2" s="146">
        <v>0.15069444444444444</v>
      </c>
      <c r="O2" s="146">
        <v>0.17291666666666666</v>
      </c>
      <c r="P2" s="146">
        <v>0.15625</v>
      </c>
      <c r="Q2" s="146">
        <v>0.13472222222222222</v>
      </c>
      <c r="R2" s="146">
        <v>0.1451388888888889</v>
      </c>
      <c r="S2" s="146">
        <v>0.14583333333333334</v>
      </c>
      <c r="T2" s="146">
        <v>0.14930555555555555</v>
      </c>
      <c r="U2" s="146">
        <v>0.13125000000000001</v>
      </c>
      <c r="V2" s="146">
        <v>0.16458333333333333</v>
      </c>
      <c r="W2" s="146">
        <v>0.15902777777777777</v>
      </c>
      <c r="X2" s="146">
        <v>0.15902777777777777</v>
      </c>
      <c r="Y2" s="146">
        <v>0.14722222222222223</v>
      </c>
      <c r="Z2" s="146">
        <v>0.12291666666666666</v>
      </c>
      <c r="AA2" s="146">
        <v>0.14930555555555555</v>
      </c>
      <c r="AB2" s="146">
        <v>0.14930555555555555</v>
      </c>
      <c r="AC2" s="146">
        <v>0.15625</v>
      </c>
      <c r="AD2" s="146">
        <v>0.16805555555555557</v>
      </c>
      <c r="AE2" s="146">
        <v>0.12777777777777777</v>
      </c>
    </row>
    <row r="3" spans="1:31">
      <c r="A3" s="77" t="s">
        <v>81</v>
      </c>
      <c r="B3" s="146">
        <v>0.14166666666666666</v>
      </c>
      <c r="C3" s="146">
        <v>0.14097222222222222</v>
      </c>
      <c r="D3" s="146">
        <v>0.13194444444444445</v>
      </c>
      <c r="E3" s="146">
        <v>0.17291666666666666</v>
      </c>
      <c r="F3" s="146">
        <v>0.16319444444444445</v>
      </c>
      <c r="G3" s="146">
        <v>0.17499999999999999</v>
      </c>
      <c r="H3" s="146">
        <v>0.1763888888888889</v>
      </c>
      <c r="I3" s="146">
        <v>0.16527777777777777</v>
      </c>
      <c r="J3" s="146">
        <v>0.18402777777777779</v>
      </c>
      <c r="K3" s="146">
        <v>0.15694444444444444</v>
      </c>
      <c r="L3" s="146">
        <v>0.15694444444444444</v>
      </c>
      <c r="M3" s="146">
        <v>0.13263888888888889</v>
      </c>
      <c r="N3" s="146">
        <v>0.17222222222222222</v>
      </c>
      <c r="O3" s="146">
        <v>0.16597222222222222</v>
      </c>
      <c r="P3" s="146">
        <v>0.1701388888888889</v>
      </c>
      <c r="Q3" s="146">
        <v>0.15833333333333333</v>
      </c>
      <c r="R3" s="146">
        <v>0.13194444444444445</v>
      </c>
      <c r="S3" s="146">
        <v>0.14583333333333334</v>
      </c>
      <c r="T3" s="146">
        <v>0.13750000000000001</v>
      </c>
      <c r="U3" s="146">
        <v>0.14374999999999999</v>
      </c>
      <c r="V3" s="146">
        <v>0.17847222222222223</v>
      </c>
      <c r="W3" s="146">
        <v>0.14166666666666666</v>
      </c>
      <c r="X3" s="146">
        <v>0.15555555555555556</v>
      </c>
      <c r="Y3" s="146">
        <v>0.14930555555555555</v>
      </c>
      <c r="Z3" s="146">
        <v>0.13263888888888889</v>
      </c>
      <c r="AA3" s="146">
        <v>0.1451388888888889</v>
      </c>
      <c r="AB3" s="146">
        <v>0.14305555555555555</v>
      </c>
      <c r="AC3" s="146">
        <v>0.15972222222222221</v>
      </c>
      <c r="AD3" s="146">
        <v>0.13541666666666666</v>
      </c>
      <c r="AE3" s="146">
        <v>0.13958333333333334</v>
      </c>
    </row>
    <row r="4" spans="1:31">
      <c r="A4" s="77" t="s">
        <v>150</v>
      </c>
      <c r="B4" s="146">
        <v>0.1388888888888889</v>
      </c>
      <c r="C4" s="146">
        <v>0.11874999999999999</v>
      </c>
      <c r="D4" s="146">
        <v>0.13194444444444445</v>
      </c>
      <c r="E4" s="146">
        <v>0.14097222222222222</v>
      </c>
      <c r="F4" s="146">
        <v>0.13055555555555556</v>
      </c>
      <c r="G4" s="146">
        <v>0.12152777777777778</v>
      </c>
      <c r="H4" s="146">
        <v>0.12708333333333333</v>
      </c>
      <c r="I4" s="146">
        <v>0.12847222222222221</v>
      </c>
      <c r="J4" s="146">
        <v>0.1451388888888889</v>
      </c>
      <c r="K4" s="146">
        <v>0.15416666666666667</v>
      </c>
      <c r="L4" s="146">
        <v>0.14305555555555555</v>
      </c>
      <c r="M4" s="146">
        <v>0.13263888888888889</v>
      </c>
      <c r="N4" s="146">
        <v>0.15277777777777779</v>
      </c>
      <c r="O4" s="146">
        <v>0.16666666666666666</v>
      </c>
      <c r="P4" s="146">
        <v>0.14444444444444443</v>
      </c>
      <c r="Q4" s="146">
        <v>0.13402777777777777</v>
      </c>
      <c r="R4" s="146">
        <v>0.125</v>
      </c>
      <c r="S4" s="146">
        <v>0.1361111111111111</v>
      </c>
      <c r="T4" s="146">
        <v>0.1388888888888889</v>
      </c>
      <c r="U4" s="146">
        <v>0.12430555555555556</v>
      </c>
      <c r="V4" s="146">
        <v>0.12847222222222221</v>
      </c>
      <c r="W4" s="146">
        <v>0.13055555555555556</v>
      </c>
      <c r="X4" s="146">
        <v>0.125</v>
      </c>
      <c r="Y4" s="146">
        <v>0.12638888888888888</v>
      </c>
      <c r="Z4" s="146">
        <v>0.14027777777777778</v>
      </c>
      <c r="AA4" s="146">
        <v>0.13125000000000001</v>
      </c>
      <c r="AB4" s="146">
        <v>0.13333333333333333</v>
      </c>
      <c r="AC4" s="146">
        <v>0.14027777777777778</v>
      </c>
      <c r="AD4" s="146">
        <v>0.14791666666666667</v>
      </c>
      <c r="AE4" s="146">
        <v>0.15069444444444444</v>
      </c>
    </row>
    <row r="5" spans="1:31">
      <c r="A5" s="77" t="s">
        <v>153</v>
      </c>
      <c r="B5" s="146">
        <v>0.15486111111111112</v>
      </c>
      <c r="C5" s="146">
        <v>0.15763888888888888</v>
      </c>
      <c r="D5" s="146">
        <v>0.15972222222222224</v>
      </c>
      <c r="E5" s="146">
        <v>0.16319444444444445</v>
      </c>
      <c r="F5" s="146">
        <v>0.16666666666666666</v>
      </c>
      <c r="G5" s="146">
        <v>0.15277777777777776</v>
      </c>
      <c r="H5" s="146">
        <v>0.14583333333333334</v>
      </c>
      <c r="I5" s="146">
        <v>0.15972222222222224</v>
      </c>
      <c r="J5" s="146">
        <v>0.15625</v>
      </c>
      <c r="K5" s="146">
        <v>0.14861111111111111</v>
      </c>
      <c r="L5" s="146">
        <v>0.15555555555555556</v>
      </c>
      <c r="M5" s="146">
        <v>0.15694444444444444</v>
      </c>
      <c r="N5" s="146">
        <v>0.16388888888888889</v>
      </c>
      <c r="O5" s="146">
        <v>0.16527777777777777</v>
      </c>
      <c r="P5" s="146">
        <v>0.15416666666666667</v>
      </c>
      <c r="Q5" s="146">
        <v>0.14722222222222223</v>
      </c>
      <c r="R5" s="146">
        <v>0.13749999999999998</v>
      </c>
      <c r="S5" s="146">
        <v>0.14583333333333334</v>
      </c>
      <c r="T5" s="146">
        <v>0.15972222222222224</v>
      </c>
      <c r="U5" s="146">
        <v>0.15972222222222224</v>
      </c>
      <c r="V5" s="146">
        <v>0.16458333333333333</v>
      </c>
      <c r="W5" s="146">
        <v>0.15</v>
      </c>
      <c r="X5" s="146">
        <v>0.16458333333333333</v>
      </c>
      <c r="Y5" s="146">
        <v>0.14722222222222223</v>
      </c>
      <c r="Z5" s="146">
        <v>0.15069444444444444</v>
      </c>
      <c r="AA5" s="146">
        <v>0.14722222222222223</v>
      </c>
      <c r="AB5" s="146">
        <v>0.15277777777777776</v>
      </c>
      <c r="AC5" s="146">
        <v>0.16666666666666666</v>
      </c>
      <c r="AD5" s="146">
        <v>0.16111111111111112</v>
      </c>
      <c r="AE5" s="146">
        <v>0.14930555555555555</v>
      </c>
    </row>
    <row r="6" spans="1:31">
      <c r="A6" s="77" t="s">
        <v>156</v>
      </c>
      <c r="B6" s="146">
        <v>0.15763888888888888</v>
      </c>
      <c r="C6" s="146">
        <v>0.15</v>
      </c>
      <c r="D6" s="146">
        <v>0.1451388888888889</v>
      </c>
      <c r="E6" s="146">
        <v>0.15763888888888888</v>
      </c>
      <c r="F6" s="146">
        <v>0.16250000000000001</v>
      </c>
      <c r="G6" s="146">
        <v>0.14861111111111111</v>
      </c>
      <c r="H6" s="146">
        <v>0.16250000000000001</v>
      </c>
      <c r="I6" s="146">
        <v>0.17291666666666666</v>
      </c>
      <c r="J6" s="146">
        <v>0.16458333333333333</v>
      </c>
      <c r="K6" s="146">
        <v>0.14652777777777778</v>
      </c>
      <c r="L6" s="146">
        <v>0.15486111111111112</v>
      </c>
      <c r="M6" s="146">
        <v>0.14791666666666667</v>
      </c>
      <c r="N6" s="146">
        <v>0.16527777777777777</v>
      </c>
      <c r="O6" s="146">
        <v>0.18333333333333332</v>
      </c>
      <c r="P6" s="146">
        <v>0.16111111111111112</v>
      </c>
      <c r="Q6" s="146">
        <v>0.15833333333333333</v>
      </c>
      <c r="R6" s="146">
        <v>0.14652777777777778</v>
      </c>
      <c r="S6" s="146">
        <v>0.15277777777777779</v>
      </c>
      <c r="T6" s="146">
        <v>0.16388888888888889</v>
      </c>
      <c r="U6" s="146">
        <v>0.15625</v>
      </c>
      <c r="V6" s="146">
        <v>0.19652777777777777</v>
      </c>
      <c r="W6" s="146">
        <v>0.15416666666666667</v>
      </c>
      <c r="X6" s="146">
        <v>0.16388888888888889</v>
      </c>
      <c r="Y6" s="146">
        <v>0.15972222222222221</v>
      </c>
      <c r="Z6" s="146">
        <v>0.17152777777777778</v>
      </c>
      <c r="AA6" s="146">
        <v>0.16597222222222222</v>
      </c>
      <c r="AB6" s="146">
        <v>0.14722222222222223</v>
      </c>
      <c r="AC6" s="146">
        <v>0.15763888888888888</v>
      </c>
      <c r="AD6" s="146">
        <v>0.16597222222222222</v>
      </c>
      <c r="AE6" s="146">
        <v>0.15555555555555556</v>
      </c>
    </row>
    <row r="7" spans="1:31">
      <c r="A7" s="77" t="s">
        <v>157</v>
      </c>
      <c r="B7" s="146">
        <v>0.14374999999999999</v>
      </c>
      <c r="C7" s="146">
        <v>0.13680555555555557</v>
      </c>
      <c r="D7" s="146">
        <v>0.13194444444444445</v>
      </c>
      <c r="E7" s="146">
        <v>0.14652777777777778</v>
      </c>
      <c r="F7" s="146">
        <v>0.1388888888888889</v>
      </c>
      <c r="G7" s="146">
        <v>0.14166666666666666</v>
      </c>
      <c r="H7" s="146">
        <v>0.14166666666666666</v>
      </c>
      <c r="I7" s="146">
        <v>0.13819444444444445</v>
      </c>
      <c r="J7" s="146">
        <v>0.16597222222222222</v>
      </c>
      <c r="K7" s="146">
        <v>0.13333333333333333</v>
      </c>
      <c r="L7" s="146">
        <v>0.11736111111111111</v>
      </c>
      <c r="M7" s="146">
        <v>0.14583333333333334</v>
      </c>
      <c r="N7" s="146">
        <v>0.15277777777777779</v>
      </c>
      <c r="O7" s="146">
        <v>0.15347222222222223</v>
      </c>
      <c r="P7" s="146">
        <v>0.1875</v>
      </c>
      <c r="Q7" s="146">
        <v>0.15486111111111112</v>
      </c>
      <c r="R7" s="146">
        <v>0.12013888888888889</v>
      </c>
      <c r="S7" s="146">
        <v>0.14027777777777778</v>
      </c>
      <c r="T7" s="146">
        <v>0.14374999999999999</v>
      </c>
      <c r="U7" s="146">
        <v>0.15486111111111112</v>
      </c>
      <c r="V7" s="146">
        <v>0.16319444444444445</v>
      </c>
      <c r="W7" s="146">
        <v>0.13680555555555557</v>
      </c>
      <c r="X7" s="146">
        <v>0.15625</v>
      </c>
      <c r="Y7" s="146">
        <v>0.12638888888888888</v>
      </c>
      <c r="Z7" s="146">
        <v>0.15277777777777779</v>
      </c>
      <c r="AA7" s="146">
        <v>0.13194444444444445</v>
      </c>
      <c r="AB7" s="146">
        <v>0.14166666666666666</v>
      </c>
      <c r="AC7" s="146">
        <v>0.15902777777777777</v>
      </c>
      <c r="AD7" s="146">
        <v>0.1388888888888889</v>
      </c>
      <c r="AE7" s="146">
        <v>0.13541666666666666</v>
      </c>
    </row>
    <row r="8" spans="1:31">
      <c r="A8" s="77" t="s">
        <v>158</v>
      </c>
      <c r="B8" s="146">
        <v>0.12152777777777778</v>
      </c>
      <c r="C8" s="146">
        <v>0.11597222222222221</v>
      </c>
      <c r="D8" s="146">
        <v>0.10555555555555556</v>
      </c>
      <c r="E8" s="146">
        <v>0.13194444444444445</v>
      </c>
      <c r="F8" s="146">
        <v>0.12152777777777778</v>
      </c>
      <c r="G8" s="146">
        <v>0.12361111111111112</v>
      </c>
      <c r="H8" s="146">
        <v>0.10694444444444444</v>
      </c>
      <c r="I8" s="146"/>
      <c r="J8" s="146">
        <v>0.12361111111111112</v>
      </c>
      <c r="K8" s="146">
        <v>0.11666666666666665</v>
      </c>
      <c r="L8" s="146">
        <v>0.11805555555555557</v>
      </c>
      <c r="M8" s="146">
        <v>0.11666666666666665</v>
      </c>
      <c r="N8" s="146">
        <v>0.1388888888888889</v>
      </c>
      <c r="O8" s="146">
        <v>0.12222222222222223</v>
      </c>
      <c r="P8" s="146">
        <v>0.13055555555555556</v>
      </c>
      <c r="Q8" s="146">
        <v>0.1173611111111111</v>
      </c>
      <c r="R8" s="146">
        <v>0.1125</v>
      </c>
      <c r="S8" s="146">
        <v>0.11875000000000001</v>
      </c>
      <c r="T8" s="146">
        <v>9.6527777777777768E-2</v>
      </c>
      <c r="U8" s="146">
        <v>0.11944444444444445</v>
      </c>
      <c r="V8" s="146">
        <v>0.10486111111111111</v>
      </c>
      <c r="W8" s="146">
        <v>0.12638888888888888</v>
      </c>
      <c r="X8" s="146">
        <v>0.11805555555555557</v>
      </c>
      <c r="Y8" s="146">
        <v>0.12291666666666667</v>
      </c>
      <c r="Z8" s="146">
        <v>0.1173611111111111</v>
      </c>
      <c r="AA8" s="146">
        <v>0.12083333333333333</v>
      </c>
      <c r="AB8" s="146">
        <v>0.1111111111111111</v>
      </c>
      <c r="AC8" s="146">
        <v>0.125</v>
      </c>
      <c r="AD8" s="146">
        <v>0.12847222222222224</v>
      </c>
      <c r="AE8" s="146">
        <v>0.125</v>
      </c>
    </row>
    <row r="9" spans="1:31">
      <c r="A9" s="77" t="s">
        <v>161</v>
      </c>
      <c r="B9" s="146">
        <v>5.9027777777777797E-2</v>
      </c>
      <c r="C9" s="146">
        <v>0.12013888888888889</v>
      </c>
      <c r="D9" s="146">
        <v>0.109027777777778</v>
      </c>
      <c r="E9" s="146">
        <v>0.1</v>
      </c>
      <c r="F9" s="146">
        <v>0.15416666666666701</v>
      </c>
      <c r="G9" s="146">
        <v>9.5833333333333298E-2</v>
      </c>
      <c r="H9" s="146">
        <v>0.1125</v>
      </c>
      <c r="I9" s="146">
        <v>9.5833333333333298E-2</v>
      </c>
      <c r="J9" s="146">
        <v>9.5138888888888898E-2</v>
      </c>
      <c r="K9" s="146">
        <v>9.7222222222222196E-2</v>
      </c>
      <c r="L9" s="146">
        <v>0.102083333333333</v>
      </c>
      <c r="M9" s="146">
        <v>9.7222222222222196E-2</v>
      </c>
      <c r="N9" s="146">
        <v>0.12291666666666699</v>
      </c>
      <c r="O9" s="146">
        <v>0.12291666666666699</v>
      </c>
      <c r="P9" s="146">
        <v>0.10625</v>
      </c>
      <c r="Q9" s="146">
        <v>9.375E-2</v>
      </c>
      <c r="R9" s="146">
        <v>9.375E-2</v>
      </c>
      <c r="S9" s="146">
        <v>9.0277777777777776E-2</v>
      </c>
      <c r="T9" s="146">
        <v>0.11180555555555556</v>
      </c>
      <c r="U9" s="146">
        <v>6.25E-2</v>
      </c>
      <c r="V9" s="146">
        <v>5.6250000000000001E-2</v>
      </c>
      <c r="W9" s="146">
        <v>6.1111111111111116E-2</v>
      </c>
      <c r="X9" s="146">
        <v>0.10902777777777778</v>
      </c>
      <c r="Y9" s="146">
        <v>9.2361111111111116E-2</v>
      </c>
      <c r="Z9" s="146">
        <v>9.6527777777777768E-2</v>
      </c>
      <c r="AA9" s="146">
        <v>0.1076388888888889</v>
      </c>
      <c r="AB9" s="146">
        <v>0.13402777777777777</v>
      </c>
      <c r="AC9" s="146">
        <v>5.9027777777777783E-2</v>
      </c>
      <c r="AD9" s="146">
        <v>6.805555555555555E-2</v>
      </c>
      <c r="AE9" s="146">
        <v>9.3055555555555558E-2</v>
      </c>
    </row>
    <row r="10" spans="1:31">
      <c r="A10" s="77" t="s">
        <v>184</v>
      </c>
      <c r="B10" s="146">
        <v>0.15694444444444444</v>
      </c>
      <c r="C10" s="146">
        <v>0.12569444444444444</v>
      </c>
      <c r="D10" s="146">
        <v>0.11388888888888889</v>
      </c>
      <c r="E10" s="146">
        <v>0.12083333333333333</v>
      </c>
      <c r="F10" s="146">
        <v>0.1111111111111111</v>
      </c>
      <c r="G10" s="146">
        <v>0.12083333333333333</v>
      </c>
      <c r="H10" s="146">
        <v>0.13541666666666666</v>
      </c>
      <c r="I10" s="146">
        <v>0.13750000000000001</v>
      </c>
      <c r="J10" s="146">
        <v>0.13194444444444445</v>
      </c>
      <c r="K10" s="146">
        <v>0.1125</v>
      </c>
      <c r="L10" s="146">
        <v>0.12222222222222222</v>
      </c>
      <c r="M10" s="146">
        <v>0.14444444444444443</v>
      </c>
      <c r="N10" s="146">
        <v>0.13819444444444445</v>
      </c>
      <c r="O10" s="146">
        <v>0.13472222222222222</v>
      </c>
      <c r="P10" s="146">
        <v>0.1388888888888889</v>
      </c>
      <c r="Q10" s="146">
        <v>0.14027777777777778</v>
      </c>
      <c r="R10" s="146">
        <v>0.11805555555555555</v>
      </c>
      <c r="S10" s="146">
        <v>0.13125000000000001</v>
      </c>
      <c r="T10" s="146">
        <v>0.12430555555555556</v>
      </c>
      <c r="U10" s="146">
        <v>0.11388888888888889</v>
      </c>
      <c r="V10" s="146">
        <v>0.12916666666666668</v>
      </c>
      <c r="W10" s="146">
        <v>0.125</v>
      </c>
      <c r="X10" s="146">
        <v>0.16180555555555556</v>
      </c>
      <c r="Y10" s="146">
        <v>0.12291666666666666</v>
      </c>
      <c r="Z10" s="146">
        <v>0.13125000000000001</v>
      </c>
      <c r="AA10" s="146">
        <v>0.12708333333333333</v>
      </c>
      <c r="AB10" s="146">
        <v>0.12777777777777777</v>
      </c>
      <c r="AC10" s="146">
        <v>0.125</v>
      </c>
      <c r="AD10" s="146">
        <v>0.11874999999999999</v>
      </c>
      <c r="AE10" s="146">
        <v>0.12986111111111112</v>
      </c>
    </row>
    <row r="11" spans="1:31">
      <c r="A11" s="77" t="s">
        <v>185</v>
      </c>
      <c r="B11" s="146">
        <v>0.15486111111111112</v>
      </c>
      <c r="C11" s="146">
        <v>0.13541666666666666</v>
      </c>
      <c r="D11" s="146">
        <v>0.1388888888888889</v>
      </c>
      <c r="E11" s="146">
        <v>0.16527777777777777</v>
      </c>
      <c r="F11" s="146">
        <v>0.15625</v>
      </c>
      <c r="G11" s="146">
        <v>0.15555555555555556</v>
      </c>
      <c r="H11" s="146">
        <v>0.16597222222222222</v>
      </c>
      <c r="I11" s="146">
        <v>0.16527777777777777</v>
      </c>
      <c r="J11" s="146">
        <v>0.16319444444444445</v>
      </c>
      <c r="K11" s="146">
        <v>0.14166666666666666</v>
      </c>
      <c r="L11" s="146">
        <v>0.13541666666666666</v>
      </c>
      <c r="M11" s="146">
        <v>0.14166666666666666</v>
      </c>
      <c r="N11" s="146">
        <v>0.16874999999999998</v>
      </c>
      <c r="O11" s="146">
        <v>0.17013888888888887</v>
      </c>
      <c r="P11" s="146">
        <v>0.16180555555555556</v>
      </c>
      <c r="Q11" s="146">
        <v>0.16666666666666666</v>
      </c>
      <c r="R11" s="146">
        <v>0.13125000000000001</v>
      </c>
      <c r="S11" s="146">
        <v>0.16111111111111112</v>
      </c>
      <c r="T11" s="146">
        <v>0.1361111111111111</v>
      </c>
      <c r="U11" s="146">
        <v>0.1361111111111111</v>
      </c>
      <c r="V11" s="146">
        <v>0.17222222222222225</v>
      </c>
      <c r="W11" s="146">
        <v>0.14305555555555557</v>
      </c>
      <c r="X11" s="146">
        <v>0.14652777777777778</v>
      </c>
      <c r="Y11" s="146">
        <v>0.15416666666666667</v>
      </c>
      <c r="Z11" s="146">
        <v>0.13749999999999998</v>
      </c>
      <c r="AA11" s="146">
        <v>0.16458333333333333</v>
      </c>
      <c r="AB11" s="146">
        <v>0.14305555555555555</v>
      </c>
      <c r="AC11" s="146">
        <v>0.1673611111111111</v>
      </c>
      <c r="AD11" s="146">
        <v>0.1451388888888889</v>
      </c>
      <c r="AE11" s="146">
        <v>0.15</v>
      </c>
    </row>
    <row r="12" spans="1:31">
      <c r="A12" s="77" t="s">
        <v>159</v>
      </c>
      <c r="B12" s="146">
        <v>0.12430555555555556</v>
      </c>
      <c r="C12" s="146">
        <v>9.0972222222222218E-2</v>
      </c>
      <c r="D12" s="146">
        <v>9.375E-2</v>
      </c>
      <c r="E12" s="146">
        <v>0.13333333333333333</v>
      </c>
      <c r="F12" s="146">
        <v>9.166666666666666E-2</v>
      </c>
      <c r="G12" s="146">
        <v>0.1423611111111111</v>
      </c>
      <c r="H12" s="146">
        <v>0.1076388888888889</v>
      </c>
      <c r="I12" s="146">
        <v>0.12361111111111112</v>
      </c>
      <c r="J12" s="146">
        <v>0.11805555555555555</v>
      </c>
      <c r="K12" s="146">
        <v>0.10069444444444445</v>
      </c>
      <c r="L12" s="146">
        <v>9.4444444444444442E-2</v>
      </c>
      <c r="M12" s="146">
        <v>9.375E-2</v>
      </c>
      <c r="N12" s="146">
        <v>0.1388888888888889</v>
      </c>
      <c r="O12" s="146">
        <v>0.12361111111111112</v>
      </c>
      <c r="P12" s="146">
        <v>0.14027777777777778</v>
      </c>
      <c r="Q12" s="146">
        <v>0.10208333333333333</v>
      </c>
      <c r="R12" s="146">
        <v>7.9861111111111105E-2</v>
      </c>
      <c r="S12" s="146">
        <v>9.375E-2</v>
      </c>
      <c r="T12" s="146">
        <v>8.8888888888888892E-2</v>
      </c>
      <c r="U12" s="146">
        <v>8.4722222222222227E-2</v>
      </c>
      <c r="V12" s="146">
        <v>0.11874999999999999</v>
      </c>
      <c r="W12" s="146">
        <v>0.10833333333333334</v>
      </c>
      <c r="X12" s="146">
        <v>9.6527777777777782E-2</v>
      </c>
      <c r="Y12" s="146">
        <v>9.4444444444444442E-2</v>
      </c>
      <c r="Z12" s="146">
        <v>0.1111111111111111</v>
      </c>
      <c r="AA12" s="146">
        <v>0.10972222222222222</v>
      </c>
      <c r="AB12" s="146">
        <v>0.1111111111111111</v>
      </c>
      <c r="AC12" s="146">
        <v>0.12083333333333333</v>
      </c>
      <c r="AD12" s="146">
        <v>0.10277777777777777</v>
      </c>
      <c r="AE12" s="146">
        <v>9.583333333333334E-2</v>
      </c>
    </row>
    <row r="13" spans="1:31">
      <c r="A13" s="77" t="s">
        <v>50</v>
      </c>
      <c r="B13" s="146">
        <v>8.4027777777780005E-2</v>
      </c>
      <c r="C13" s="146">
        <v>8.4027777777780005E-2</v>
      </c>
      <c r="D13" s="146">
        <v>8.3333333333329998E-2</v>
      </c>
      <c r="E13" s="146">
        <v>8.3333333333329998E-2</v>
      </c>
      <c r="F13" s="146">
        <v>8.3333333333329998E-2</v>
      </c>
      <c r="G13" s="146">
        <v>8.4027777777780005E-2</v>
      </c>
      <c r="H13" s="146">
        <v>8.3333333333329998E-2</v>
      </c>
      <c r="I13" s="146">
        <v>8.4027777777780005E-2</v>
      </c>
      <c r="J13" s="146">
        <v>8.3333333333329998E-2</v>
      </c>
      <c r="K13" s="146">
        <v>8.3333333333329998E-2</v>
      </c>
      <c r="L13" s="146">
        <v>8.4027777777780005E-2</v>
      </c>
      <c r="M13" s="146">
        <v>8.3333333333329998E-2</v>
      </c>
      <c r="N13" s="146">
        <v>0.12152777777778</v>
      </c>
      <c r="O13" s="146">
        <v>0.10416666666666667</v>
      </c>
      <c r="P13" s="146">
        <v>9.3055555555559999E-2</v>
      </c>
      <c r="Q13" s="146">
        <v>8.611111111111E-2</v>
      </c>
      <c r="R13" s="146">
        <v>8.3333333333329998E-2</v>
      </c>
      <c r="S13" s="146">
        <v>0.10069444444444001</v>
      </c>
      <c r="T13" s="146">
        <v>8.4027777777780005E-2</v>
      </c>
      <c r="U13" s="146">
        <v>8.8194444444439996E-2</v>
      </c>
      <c r="V13" s="146">
        <v>8.3333333333329998E-2</v>
      </c>
      <c r="W13" s="146">
        <v>8.4027777777780005E-2</v>
      </c>
      <c r="X13" s="146">
        <v>8.4722222222220006E-2</v>
      </c>
      <c r="Y13" s="146">
        <v>8.5416666666669999E-2</v>
      </c>
      <c r="Z13" s="146">
        <v>8.3333333333329998E-2</v>
      </c>
      <c r="AA13" s="146">
        <v>8.4722222222220006E-2</v>
      </c>
      <c r="AB13" s="146">
        <v>9.0277777777779997E-2</v>
      </c>
      <c r="AC13" s="146">
        <v>8.8194444444439996E-2</v>
      </c>
      <c r="AD13" s="146">
        <v>8.3333333333329998E-2</v>
      </c>
      <c r="AE13" s="146">
        <v>8.4027777777780005E-2</v>
      </c>
    </row>
    <row r="14" spans="1:31">
      <c r="A14" s="77" t="s">
        <v>186</v>
      </c>
      <c r="B14" s="146">
        <v>6.458333333333334E-2</v>
      </c>
      <c r="C14" s="146">
        <v>6.458333333333334E-2</v>
      </c>
      <c r="D14" s="146">
        <v>8.6805555555555552E-2</v>
      </c>
      <c r="E14" s="146">
        <v>8.6805555555555552E-2</v>
      </c>
      <c r="F14" s="146">
        <v>6.5972222222222224E-2</v>
      </c>
      <c r="G14" s="146">
        <v>6.458333333333334E-2</v>
      </c>
      <c r="H14" s="146">
        <v>5.7638888888888892E-2</v>
      </c>
      <c r="I14" s="146"/>
      <c r="J14" s="146">
        <v>7.9861111111111105E-2</v>
      </c>
      <c r="K14" s="146">
        <v>5.7638888888888892E-2</v>
      </c>
      <c r="L14" s="146">
        <v>7.4999999999999997E-2</v>
      </c>
      <c r="M14" s="146">
        <v>5.5555555555555552E-2</v>
      </c>
      <c r="N14" s="146">
        <v>9.0277777777777776E-2</v>
      </c>
      <c r="O14" s="146">
        <v>6.9444444444444448E-2</v>
      </c>
      <c r="P14" s="146">
        <v>6.7361111111111108E-2</v>
      </c>
      <c r="Q14" s="146">
        <v>8.3333333333333329E-2</v>
      </c>
      <c r="R14" s="146">
        <v>6.25E-2</v>
      </c>
      <c r="S14" s="146">
        <v>5.6944444444444443E-2</v>
      </c>
      <c r="T14" s="146">
        <v>5.9027777777777776E-2</v>
      </c>
      <c r="U14" s="146">
        <v>5.5555555555555552E-2</v>
      </c>
      <c r="V14" s="146">
        <v>7.2916666666666671E-2</v>
      </c>
      <c r="W14" s="146">
        <v>6.5972222222222224E-2</v>
      </c>
      <c r="X14" s="146">
        <v>6.458333333333334E-2</v>
      </c>
      <c r="Y14" s="146">
        <v>6.805555555555555E-2</v>
      </c>
      <c r="Z14" s="146">
        <v>5.7638888888888892E-2</v>
      </c>
      <c r="AA14" s="146">
        <v>6.5972222222222224E-2</v>
      </c>
      <c r="AB14" s="146">
        <v>6.9444444444444448E-2</v>
      </c>
      <c r="AC14" s="146">
        <v>6.805555555555555E-2</v>
      </c>
      <c r="AD14" s="146">
        <v>7.8472222222222221E-2</v>
      </c>
      <c r="AE14" s="146">
        <v>6.6666666666666666E-2</v>
      </c>
    </row>
    <row r="17" spans="4:4">
      <c r="D17" s="145" t="s">
        <v>190</v>
      </c>
    </row>
    <row r="19" spans="4:4">
      <c r="D19" s="145" t="s">
        <v>188</v>
      </c>
    </row>
    <row r="21" spans="4:4">
      <c r="D21" s="145" t="s">
        <v>189</v>
      </c>
    </row>
  </sheetData>
  <sortState xmlns:xlrd2="http://schemas.microsoft.com/office/spreadsheetml/2017/richdata2" ref="A2:AE14">
    <sortCondition ref="A1:A14"/>
  </sortState>
  <conditionalFormatting sqref="B1:AE11">
    <cfRule type="cellIs" dxfId="122" priority="17" operator="greaterThan">
      <formula>0.1875</formula>
    </cfRule>
    <cfRule type="cellIs" dxfId="121" priority="18" operator="equal">
      <formula>0.166666666666667</formula>
    </cfRule>
    <cfRule type="cellIs" dxfId="120" priority="19" operator="lessThan">
      <formula>0.166666666666667</formula>
    </cfRule>
    <cfRule type="cellIs" dxfId="119" priority="20" operator="greaterThan">
      <formula>0.166666666666667</formula>
    </cfRule>
  </conditionalFormatting>
  <conditionalFormatting sqref="B1:AE14">
    <cfRule type="cellIs" dxfId="118" priority="1" operator="equal">
      <formula>""</formula>
    </cfRule>
  </conditionalFormatting>
  <conditionalFormatting sqref="B12:AE12">
    <cfRule type="cellIs" dxfId="117" priority="9" operator="greaterThan">
      <formula>0.145833333333333</formula>
    </cfRule>
    <cfRule type="cellIs" dxfId="116" priority="10" operator="equal">
      <formula>0.125</formula>
    </cfRule>
    <cfRule type="cellIs" dxfId="115" priority="11" operator="lessThan">
      <formula>0.125</formula>
    </cfRule>
    <cfRule type="cellIs" dxfId="114" priority="12" operator="greaterThan">
      <formula>0.125</formula>
    </cfRule>
  </conditionalFormatting>
  <conditionalFormatting sqref="B13:AE14">
    <cfRule type="cellIs" dxfId="113" priority="2" operator="greaterThan">
      <formula>0.125</formula>
    </cfRule>
    <cfRule type="cellIs" dxfId="112" priority="3" operator="greaterThan">
      <formula>0.104166666666667</formula>
    </cfRule>
    <cfRule type="cellIs" dxfId="111" priority="4" operator="equal">
      <formula>0.104166666666667</formula>
    </cfRule>
    <cfRule type="cellIs" dxfId="110" priority="5" operator="lessThan">
      <formula>0.104166666666667</formula>
    </cfRule>
  </conditionalFormatting>
  <conditionalFormatting sqref="N18">
    <cfRule type="cellIs" dxfId="109" priority="33" operator="equal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795E-C725-4DE9-BFAB-FB89AE0104FA}">
  <dimension ref="A1:AF23"/>
  <sheetViews>
    <sheetView workbookViewId="0">
      <selection activeCell="A2" sqref="A2:A15"/>
    </sheetView>
  </sheetViews>
  <sheetFormatPr defaultRowHeight="14.5"/>
  <cols>
    <col min="1" max="1" width="11.1796875" bestFit="1" customWidth="1"/>
    <col min="2" max="2" width="11.1796875" customWidth="1"/>
    <col min="3" max="32" width="6.453125" bestFit="1" customWidth="1"/>
  </cols>
  <sheetData>
    <row r="1" spans="1:32" s="144" customFormat="1" ht="29">
      <c r="A1" s="142" t="s">
        <v>0</v>
      </c>
      <c r="B1" s="141" t="s">
        <v>7</v>
      </c>
      <c r="C1" s="143">
        <v>45809</v>
      </c>
      <c r="D1" s="143">
        <v>45810</v>
      </c>
      <c r="E1" s="143">
        <v>45811</v>
      </c>
      <c r="F1" s="143">
        <v>45812</v>
      </c>
      <c r="G1" s="143">
        <v>45813</v>
      </c>
      <c r="H1" s="143">
        <v>45814</v>
      </c>
      <c r="I1" s="143">
        <v>45815</v>
      </c>
      <c r="J1" s="143">
        <v>45816</v>
      </c>
      <c r="K1" s="143">
        <v>45817</v>
      </c>
      <c r="L1" s="143">
        <v>45818</v>
      </c>
      <c r="M1" s="143">
        <v>45819</v>
      </c>
      <c r="N1" s="143">
        <v>45820</v>
      </c>
      <c r="O1" s="143">
        <v>45821</v>
      </c>
      <c r="P1" s="143">
        <v>45822</v>
      </c>
      <c r="Q1" s="143">
        <v>45823</v>
      </c>
      <c r="R1" s="143">
        <v>45824</v>
      </c>
      <c r="S1" s="143">
        <v>45825</v>
      </c>
      <c r="T1" s="143">
        <v>45826</v>
      </c>
      <c r="U1" s="143">
        <v>45827</v>
      </c>
      <c r="V1" s="143">
        <v>45828</v>
      </c>
      <c r="W1" s="143">
        <v>45829</v>
      </c>
      <c r="X1" s="143">
        <v>45830</v>
      </c>
      <c r="Y1" s="143">
        <v>45831</v>
      </c>
      <c r="Z1" s="143">
        <v>45832</v>
      </c>
      <c r="AA1" s="143">
        <v>45833</v>
      </c>
      <c r="AB1" s="143">
        <v>45834</v>
      </c>
      <c r="AC1" s="143">
        <v>45835</v>
      </c>
      <c r="AD1" s="143">
        <v>45836</v>
      </c>
      <c r="AE1" s="143">
        <v>45837</v>
      </c>
      <c r="AF1" s="143">
        <v>45838</v>
      </c>
    </row>
    <row r="2" spans="1:32">
      <c r="A2" s="77" t="s">
        <v>32</v>
      </c>
      <c r="B2" s="140">
        <v>0.16666666666666666</v>
      </c>
      <c r="C2" s="50">
        <v>0.10694444444444444</v>
      </c>
      <c r="D2" s="50">
        <v>0.10347222222222222</v>
      </c>
      <c r="E2" s="50">
        <v>0.10277777777777777</v>
      </c>
      <c r="F2" s="50">
        <v>0.1388888888888889</v>
      </c>
      <c r="G2" s="50">
        <v>0.10138888888888889</v>
      </c>
      <c r="H2" s="50">
        <v>0.10208333333333333</v>
      </c>
      <c r="I2" s="50">
        <v>0.1</v>
      </c>
      <c r="J2" s="50">
        <v>0.10277777777777777</v>
      </c>
      <c r="K2" s="50">
        <v>0.10833333333333334</v>
      </c>
      <c r="L2" s="50">
        <v>0.10277777777777777</v>
      </c>
      <c r="M2" s="50">
        <v>0.10625</v>
      </c>
      <c r="N2" s="50">
        <v>0.10138888888888889</v>
      </c>
      <c r="O2" s="50">
        <v>0.16319444444444445</v>
      </c>
      <c r="P2" s="50">
        <v>0.15625</v>
      </c>
      <c r="Q2" s="50">
        <v>0.12916666666666668</v>
      </c>
      <c r="R2" s="50">
        <v>0.13055555555555556</v>
      </c>
      <c r="S2" s="50">
        <v>0.10277777777777777</v>
      </c>
      <c r="T2" s="50">
        <v>0.11874999999999999</v>
      </c>
      <c r="U2" s="50">
        <v>0.10416666666666667</v>
      </c>
      <c r="V2" s="50">
        <v>0.10902777777777778</v>
      </c>
      <c r="W2" s="50">
        <v>0.10486111111111111</v>
      </c>
      <c r="X2" s="50">
        <v>0.10416666666666667</v>
      </c>
      <c r="Y2" s="50">
        <v>0.10902777777777778</v>
      </c>
      <c r="Z2" s="50">
        <v>0.10833333333333334</v>
      </c>
      <c r="AA2" s="50">
        <v>0.10972222222222222</v>
      </c>
      <c r="AB2" s="50">
        <v>0.12916666666666668</v>
      </c>
      <c r="AC2" s="50">
        <v>0.10972222222222222</v>
      </c>
      <c r="AD2" s="50">
        <v>0.1111111111111111</v>
      </c>
      <c r="AE2" s="50">
        <v>0.11180555555555556</v>
      </c>
      <c r="AF2" s="50">
        <v>0.10416666666666667</v>
      </c>
    </row>
    <row r="3" spans="1:32">
      <c r="A3" s="77" t="s">
        <v>43</v>
      </c>
      <c r="B3" s="140">
        <v>0.16666666666666666</v>
      </c>
      <c r="C3" s="50">
        <v>0.14791666666666667</v>
      </c>
      <c r="D3" s="50">
        <v>0.12638888888888888</v>
      </c>
      <c r="E3" s="50">
        <v>0.12152777777777778</v>
      </c>
      <c r="F3" s="50">
        <v>0.15277777777777779</v>
      </c>
      <c r="G3" s="50">
        <v>0.15833333333333333</v>
      </c>
      <c r="H3" s="50">
        <v>0.15347222222222223</v>
      </c>
      <c r="I3" s="50">
        <v>0.13541666666666666</v>
      </c>
      <c r="J3" s="50">
        <v>0.16250000000000001</v>
      </c>
      <c r="K3" s="50">
        <v>0.14374999999999999</v>
      </c>
      <c r="L3" s="50">
        <v>0.12916666666666668</v>
      </c>
      <c r="M3" s="50">
        <v>0.13958333333333334</v>
      </c>
      <c r="N3" s="50">
        <v>0.13263888888888889</v>
      </c>
      <c r="O3" s="50">
        <v>0.15069444444444444</v>
      </c>
      <c r="P3" s="50">
        <v>0.17291666666666666</v>
      </c>
      <c r="Q3" s="50">
        <v>0.15625</v>
      </c>
      <c r="R3" s="50">
        <v>0.13472222222222222</v>
      </c>
      <c r="S3" s="50">
        <v>0.1451388888888889</v>
      </c>
      <c r="T3" s="50">
        <v>0.14583333333333334</v>
      </c>
      <c r="U3" s="50">
        <v>0.14930555555555555</v>
      </c>
      <c r="V3" s="50">
        <v>0.13125000000000001</v>
      </c>
      <c r="W3" s="50">
        <v>0.16458333333333333</v>
      </c>
      <c r="X3" s="50">
        <v>0.15902777777777777</v>
      </c>
      <c r="Y3" s="50">
        <v>0.15902777777777777</v>
      </c>
      <c r="Z3" s="50">
        <v>0.14722222222222223</v>
      </c>
      <c r="AA3" s="50">
        <v>0.12291666666666666</v>
      </c>
      <c r="AB3" s="50">
        <v>0.14930555555555555</v>
      </c>
      <c r="AC3" s="50">
        <v>0.14930555555555555</v>
      </c>
      <c r="AD3" s="50">
        <v>0.15625</v>
      </c>
      <c r="AE3" s="50">
        <v>0.16805555555555557</v>
      </c>
      <c r="AF3" s="50">
        <v>0.12777777777777777</v>
      </c>
    </row>
    <row r="4" spans="1:32">
      <c r="A4" s="77" t="s">
        <v>81</v>
      </c>
      <c r="B4" s="140">
        <v>0.16666666666666666</v>
      </c>
      <c r="C4" s="50">
        <v>0.14166666666666666</v>
      </c>
      <c r="D4" s="50">
        <v>0.14097222222222222</v>
      </c>
      <c r="E4" s="50">
        <v>0.13194444444444445</v>
      </c>
      <c r="F4" s="50">
        <v>0.17291666666666666</v>
      </c>
      <c r="G4" s="50">
        <v>0.16319444444444445</v>
      </c>
      <c r="H4" s="50">
        <v>0.17499999999999999</v>
      </c>
      <c r="I4" s="50">
        <v>0.1763888888888889</v>
      </c>
      <c r="J4" s="50">
        <v>0.16527777777777777</v>
      </c>
      <c r="K4" s="50">
        <v>0.18402777777777779</v>
      </c>
      <c r="L4" s="50">
        <v>0.15694444444444444</v>
      </c>
      <c r="M4" s="50">
        <v>0.15694444444444444</v>
      </c>
      <c r="N4" s="50">
        <v>0.13263888888888889</v>
      </c>
      <c r="O4" s="50">
        <v>0.17222222222222222</v>
      </c>
      <c r="P4" s="50">
        <v>0.16597222222222222</v>
      </c>
      <c r="Q4" s="50">
        <v>0.1701388888888889</v>
      </c>
      <c r="R4" s="50">
        <v>0.15833333333333333</v>
      </c>
      <c r="S4" s="50">
        <v>0.13194444444444445</v>
      </c>
      <c r="T4" s="50">
        <v>0.14583333333333334</v>
      </c>
      <c r="U4" s="50">
        <v>0.13750000000000001</v>
      </c>
      <c r="V4" s="50">
        <v>0.14374999999999999</v>
      </c>
      <c r="W4" s="50">
        <v>0.17847222222222223</v>
      </c>
      <c r="X4" s="50">
        <v>0.14166666666666666</v>
      </c>
      <c r="Y4" s="50">
        <v>0.15555555555555556</v>
      </c>
      <c r="Z4" s="50">
        <v>0.14930555555555555</v>
      </c>
      <c r="AA4" s="50">
        <v>0.13263888888888889</v>
      </c>
      <c r="AB4" s="50">
        <v>0.1451388888888889</v>
      </c>
      <c r="AC4" s="50">
        <v>0.14305555555555555</v>
      </c>
      <c r="AD4" s="50">
        <v>0.15972222222222221</v>
      </c>
      <c r="AE4" s="50">
        <v>0.13541666666666666</v>
      </c>
      <c r="AF4" s="50">
        <v>0.13958333333333334</v>
      </c>
    </row>
    <row r="5" spans="1:32">
      <c r="A5" s="77" t="s">
        <v>50</v>
      </c>
      <c r="B5" s="140">
        <v>0.10416666666666667</v>
      </c>
      <c r="C5" s="79">
        <v>8.4027777777780005E-2</v>
      </c>
      <c r="D5" s="79">
        <v>8.4027777777780005E-2</v>
      </c>
      <c r="E5" s="79">
        <v>8.3333333333329998E-2</v>
      </c>
      <c r="F5" s="79">
        <v>8.3333333333329998E-2</v>
      </c>
      <c r="G5" s="79">
        <v>8.3333333333329998E-2</v>
      </c>
      <c r="H5" s="79">
        <v>8.4027777777780005E-2</v>
      </c>
      <c r="I5" s="79">
        <v>8.3333333333329998E-2</v>
      </c>
      <c r="J5" s="79">
        <v>8.4027777777780005E-2</v>
      </c>
      <c r="K5" s="79">
        <v>8.3333333333329998E-2</v>
      </c>
      <c r="L5" s="79">
        <v>8.3333333333329998E-2</v>
      </c>
      <c r="M5" s="79">
        <v>8.4027777777780005E-2</v>
      </c>
      <c r="N5" s="79">
        <v>8.3333333333329998E-2</v>
      </c>
      <c r="O5" s="79">
        <v>0.12152777777778</v>
      </c>
      <c r="P5" s="79">
        <v>0.10416666666667</v>
      </c>
      <c r="Q5" s="79">
        <v>9.3055555555559999E-2</v>
      </c>
      <c r="R5" s="79">
        <v>8.611111111111E-2</v>
      </c>
      <c r="S5" s="79">
        <v>8.3333333333329998E-2</v>
      </c>
      <c r="T5" s="79">
        <v>0.10069444444444001</v>
      </c>
      <c r="U5" s="79">
        <v>8.4027777777780005E-2</v>
      </c>
      <c r="V5" s="79">
        <v>8.8194444444439996E-2</v>
      </c>
      <c r="W5" s="79">
        <v>8.3333333333329998E-2</v>
      </c>
      <c r="X5" s="79">
        <v>8.4027777777780005E-2</v>
      </c>
      <c r="Y5" s="79">
        <v>8.4722222222220006E-2</v>
      </c>
      <c r="Z5" s="79">
        <v>8.5416666666669999E-2</v>
      </c>
      <c r="AA5" s="79">
        <v>8.3333333333329998E-2</v>
      </c>
      <c r="AB5" s="79">
        <v>8.4722222222220006E-2</v>
      </c>
      <c r="AC5" s="79">
        <v>9.0277777777779997E-2</v>
      </c>
      <c r="AD5" s="79">
        <v>8.8194444444439996E-2</v>
      </c>
      <c r="AE5" s="79">
        <v>8.3333333333329998E-2</v>
      </c>
      <c r="AF5" s="79">
        <v>8.4027777777780005E-2</v>
      </c>
    </row>
    <row r="6" spans="1:32">
      <c r="A6" s="77" t="s">
        <v>150</v>
      </c>
      <c r="B6" s="140">
        <v>0.16666666666666666</v>
      </c>
      <c r="C6" s="50">
        <v>0.1388888888888889</v>
      </c>
      <c r="D6" s="50">
        <v>0.11874999999999999</v>
      </c>
      <c r="E6" s="50">
        <v>0.13194444444444445</v>
      </c>
      <c r="F6" s="50">
        <v>0.14097222222222222</v>
      </c>
      <c r="G6" s="50">
        <v>0.13055555555555556</v>
      </c>
      <c r="H6" s="50">
        <v>0.12152777777777778</v>
      </c>
      <c r="I6" s="50">
        <v>0.12708333333333333</v>
      </c>
      <c r="J6" s="50">
        <v>0.12847222222222221</v>
      </c>
      <c r="K6" s="50">
        <v>0.1451388888888889</v>
      </c>
      <c r="L6" s="50">
        <v>0.15416666666666667</v>
      </c>
      <c r="M6" s="50">
        <v>0.14305555555555555</v>
      </c>
      <c r="N6" s="50">
        <v>0.13263888888888889</v>
      </c>
      <c r="O6" s="50">
        <v>0.15277777777777779</v>
      </c>
      <c r="P6" s="50">
        <v>0.16666666666666666</v>
      </c>
      <c r="Q6" s="50">
        <v>0.14444444444444443</v>
      </c>
      <c r="R6" s="50">
        <v>0.13402777777777777</v>
      </c>
      <c r="S6" s="50">
        <v>0.125</v>
      </c>
      <c r="T6" s="50">
        <v>0.1361111111111111</v>
      </c>
      <c r="U6" s="50">
        <v>0.1388888888888889</v>
      </c>
      <c r="V6" s="50">
        <v>0.12430555555555556</v>
      </c>
      <c r="W6" s="50">
        <v>0.12847222222222221</v>
      </c>
      <c r="X6" s="50">
        <v>0.13055555555555556</v>
      </c>
      <c r="Y6" s="50">
        <v>0.125</v>
      </c>
      <c r="Z6" s="50">
        <v>0.12638888888888888</v>
      </c>
      <c r="AA6" s="50">
        <v>0.14027777777777778</v>
      </c>
      <c r="AB6" s="50">
        <v>0.13125000000000001</v>
      </c>
      <c r="AC6" s="50">
        <v>0.13333333333333333</v>
      </c>
      <c r="AD6" s="50">
        <v>0.14027777777777778</v>
      </c>
      <c r="AE6" s="50">
        <v>0.14791666666666667</v>
      </c>
      <c r="AF6" s="50">
        <v>0.15069444444444444</v>
      </c>
    </row>
    <row r="7" spans="1:32">
      <c r="A7" s="77" t="s">
        <v>153</v>
      </c>
      <c r="B7" s="140">
        <v>0.17708333333333334</v>
      </c>
      <c r="C7" s="50">
        <v>0.15486111111111112</v>
      </c>
      <c r="D7" s="50">
        <v>0.15763888888888888</v>
      </c>
      <c r="E7" s="50">
        <v>0.15972222222222224</v>
      </c>
      <c r="F7" s="50">
        <v>0.16319444444444445</v>
      </c>
      <c r="G7" s="50">
        <v>0.16666666666666666</v>
      </c>
      <c r="H7" s="50">
        <v>0.15277777777777776</v>
      </c>
      <c r="I7" s="50">
        <v>0.14583333333333334</v>
      </c>
      <c r="J7" s="50">
        <v>0.15972222222222224</v>
      </c>
      <c r="K7" s="50">
        <v>0.15625</v>
      </c>
      <c r="L7" s="50">
        <v>0.14861111111111111</v>
      </c>
      <c r="M7" s="50">
        <v>0.15555555555555556</v>
      </c>
      <c r="N7" s="50">
        <v>0.15694444444444444</v>
      </c>
      <c r="O7" s="50">
        <v>0.16388888888888889</v>
      </c>
      <c r="P7" s="50">
        <v>0.16527777777777777</v>
      </c>
      <c r="Q7" s="50">
        <v>0.15416666666666667</v>
      </c>
      <c r="R7" s="50">
        <v>0.14722222222222223</v>
      </c>
      <c r="S7" s="50">
        <v>0.13749999999999998</v>
      </c>
      <c r="T7" s="50">
        <v>0.14583333333333334</v>
      </c>
      <c r="U7" s="50">
        <v>0.15972222222222224</v>
      </c>
      <c r="V7" s="50">
        <v>0.15972222222222224</v>
      </c>
      <c r="W7" s="50">
        <v>0.16458333333333333</v>
      </c>
      <c r="X7" s="50">
        <v>0.15</v>
      </c>
      <c r="Y7" s="50">
        <v>0.16458333333333333</v>
      </c>
      <c r="Z7" s="50">
        <v>0.14722222222222223</v>
      </c>
      <c r="AA7" s="50">
        <v>0.15069444444444444</v>
      </c>
      <c r="AB7" s="50">
        <v>0.14722222222222223</v>
      </c>
      <c r="AC7" s="50">
        <v>0.15277777777777776</v>
      </c>
      <c r="AD7" s="50">
        <v>0.16666666666666666</v>
      </c>
      <c r="AE7" s="50">
        <v>0.16111111111111112</v>
      </c>
      <c r="AF7" s="50">
        <v>0.14930555555555555</v>
      </c>
    </row>
    <row r="8" spans="1:32">
      <c r="A8" s="77" t="s">
        <v>156</v>
      </c>
      <c r="B8" s="140">
        <v>0.16666666666666666</v>
      </c>
      <c r="C8" s="50">
        <v>0.15763888888888888</v>
      </c>
      <c r="D8" s="50">
        <v>0.15</v>
      </c>
      <c r="E8" s="50">
        <v>0.1451388888888889</v>
      </c>
      <c r="F8" s="50">
        <v>0.15763888888888888</v>
      </c>
      <c r="G8" s="50">
        <v>0.16250000000000001</v>
      </c>
      <c r="H8" s="50">
        <v>0.14861111111111111</v>
      </c>
      <c r="I8" s="50">
        <v>0.16250000000000001</v>
      </c>
      <c r="J8" s="50">
        <v>0.17291666666666666</v>
      </c>
      <c r="K8" s="50">
        <v>0.16458333333333333</v>
      </c>
      <c r="L8" s="50">
        <v>0.14652777777777778</v>
      </c>
      <c r="M8" s="50">
        <v>0.15486111111111112</v>
      </c>
      <c r="N8" s="50">
        <v>0.14791666666666667</v>
      </c>
      <c r="O8" s="50">
        <v>0.16527777777777777</v>
      </c>
      <c r="P8" s="50">
        <v>0.18333333333333332</v>
      </c>
      <c r="Q8" s="50">
        <v>0.16111111111111112</v>
      </c>
      <c r="R8" s="50">
        <v>0.15833333333333333</v>
      </c>
      <c r="S8" s="50">
        <v>0.14652777777777778</v>
      </c>
      <c r="T8" s="50">
        <v>0.15277777777777779</v>
      </c>
      <c r="U8" s="50">
        <v>0.16388888888888889</v>
      </c>
      <c r="V8" s="50">
        <v>0.15625</v>
      </c>
      <c r="W8" s="50">
        <v>0.19652777777777777</v>
      </c>
      <c r="X8" s="50">
        <v>0.15416666666666667</v>
      </c>
      <c r="Y8" s="50">
        <v>0.16388888888888889</v>
      </c>
      <c r="Z8" s="50">
        <v>0.15972222222222221</v>
      </c>
      <c r="AA8" s="50">
        <v>0.17152777777777778</v>
      </c>
      <c r="AB8" s="50">
        <v>0.16597222222222222</v>
      </c>
      <c r="AC8" s="50">
        <v>0.14722222222222223</v>
      </c>
      <c r="AD8" s="50">
        <v>0.15763888888888888</v>
      </c>
      <c r="AE8" s="50">
        <v>0.16597222222222222</v>
      </c>
      <c r="AF8" s="50">
        <v>0.15555555555555556</v>
      </c>
    </row>
    <row r="9" spans="1:32">
      <c r="A9" s="77" t="s">
        <v>157</v>
      </c>
      <c r="B9" s="140">
        <v>0.16666666666666666</v>
      </c>
      <c r="C9" s="50">
        <v>0.14374999999999999</v>
      </c>
      <c r="D9" s="50">
        <v>0.13680555555555557</v>
      </c>
      <c r="E9" s="50">
        <v>0.13194444444444445</v>
      </c>
      <c r="F9" s="50">
        <v>0.14652777777777778</v>
      </c>
      <c r="G9" s="50">
        <v>0.1388888888888889</v>
      </c>
      <c r="H9" s="50">
        <v>0.14166666666666666</v>
      </c>
      <c r="I9" s="50">
        <v>0.14166666666666666</v>
      </c>
      <c r="J9" s="50">
        <v>0.13819444444444445</v>
      </c>
      <c r="K9" s="50">
        <v>0.16597222222222222</v>
      </c>
      <c r="L9" s="50">
        <v>0.13333333333333333</v>
      </c>
      <c r="M9" s="50">
        <v>0.11736111111111111</v>
      </c>
      <c r="N9" s="50">
        <v>0.14583333333333334</v>
      </c>
      <c r="O9" s="50">
        <v>0.15277777777777779</v>
      </c>
      <c r="P9" s="50">
        <v>0.15347222222222223</v>
      </c>
      <c r="Q9" s="50">
        <v>0.1875</v>
      </c>
      <c r="R9" s="50">
        <v>0.15486111111111112</v>
      </c>
      <c r="S9" s="50">
        <v>0.12013888888888889</v>
      </c>
      <c r="T9" s="50">
        <v>0.14027777777777778</v>
      </c>
      <c r="U9" s="50">
        <v>0.14374999999999999</v>
      </c>
      <c r="V9" s="50">
        <v>0.15486111111111112</v>
      </c>
      <c r="W9" s="50">
        <v>0.16319444444444445</v>
      </c>
      <c r="X9" s="50">
        <v>0.13680555555555557</v>
      </c>
      <c r="Y9" s="50">
        <v>0.15625</v>
      </c>
      <c r="Z9" s="50">
        <v>0.12638888888888888</v>
      </c>
      <c r="AA9" s="50">
        <v>0.15277777777777779</v>
      </c>
      <c r="AB9" s="50">
        <v>0.13194444444444445</v>
      </c>
      <c r="AC9" s="50">
        <v>0.14166666666666666</v>
      </c>
      <c r="AD9" s="50">
        <v>0.15902777777777777</v>
      </c>
      <c r="AE9" s="50">
        <v>0.1388888888888889</v>
      </c>
      <c r="AF9" s="50">
        <v>0.13541666666666666</v>
      </c>
    </row>
    <row r="10" spans="1:32">
      <c r="A10" s="77" t="s">
        <v>158</v>
      </c>
      <c r="B10" s="140">
        <v>0.16666666666666666</v>
      </c>
      <c r="C10" s="50">
        <v>0.12152777777777778</v>
      </c>
      <c r="D10" s="50">
        <v>0.11597222222222221</v>
      </c>
      <c r="E10" s="50">
        <v>0.10555555555555556</v>
      </c>
      <c r="F10" s="50">
        <v>0.13194444444444445</v>
      </c>
      <c r="G10" s="50">
        <v>0.12152777777777778</v>
      </c>
      <c r="H10" s="50">
        <v>0.12361111111111112</v>
      </c>
      <c r="I10" s="50">
        <v>0.10694444444444444</v>
      </c>
      <c r="J10" s="50"/>
      <c r="K10" s="50">
        <v>0.12361111111111112</v>
      </c>
      <c r="L10" s="50">
        <v>0.11666666666666665</v>
      </c>
      <c r="M10" s="50">
        <v>0.11805555555555557</v>
      </c>
      <c r="N10" s="50">
        <v>0.11666666666666665</v>
      </c>
      <c r="O10" s="50">
        <v>0.1388888888888889</v>
      </c>
      <c r="P10" s="50">
        <v>0.12222222222222223</v>
      </c>
      <c r="Q10" s="50">
        <v>0.13055555555555556</v>
      </c>
      <c r="R10" s="50">
        <v>0.1173611111111111</v>
      </c>
      <c r="S10" s="50">
        <v>0.1125</v>
      </c>
      <c r="T10" s="50">
        <v>0.11875000000000001</v>
      </c>
      <c r="U10" s="50">
        <v>9.6527777777777768E-2</v>
      </c>
      <c r="V10" s="50">
        <v>0.11944444444444445</v>
      </c>
      <c r="W10" s="50">
        <v>0.10486111111111111</v>
      </c>
      <c r="X10" s="50">
        <v>0.12638888888888888</v>
      </c>
      <c r="Y10" s="50">
        <v>0.11805555555555557</v>
      </c>
      <c r="Z10" s="50">
        <v>0.12291666666666667</v>
      </c>
      <c r="AA10" s="50">
        <v>0.1173611111111111</v>
      </c>
      <c r="AB10" s="50">
        <v>0.12083333333333333</v>
      </c>
      <c r="AC10" s="50">
        <v>0.1111111111111111</v>
      </c>
      <c r="AD10" s="50">
        <v>0.125</v>
      </c>
      <c r="AE10" s="50">
        <v>0.12847222222222224</v>
      </c>
      <c r="AF10" s="50">
        <v>0.125</v>
      </c>
    </row>
    <row r="11" spans="1:32">
      <c r="A11" s="77" t="s">
        <v>159</v>
      </c>
      <c r="B11" s="140">
        <v>0.125</v>
      </c>
      <c r="C11" s="79">
        <v>0.12430555555555556</v>
      </c>
      <c r="D11" s="79">
        <v>9.0972222222222218E-2</v>
      </c>
      <c r="E11" s="79">
        <v>9.375E-2</v>
      </c>
      <c r="F11" s="79">
        <v>0.13333333333333333</v>
      </c>
      <c r="G11" s="79">
        <v>9.166666666666666E-2</v>
      </c>
      <c r="H11" s="79">
        <v>0.1423611111111111</v>
      </c>
      <c r="I11" s="79">
        <v>0.1076388888888889</v>
      </c>
      <c r="J11" s="79">
        <v>0.12361111111111112</v>
      </c>
      <c r="K11" s="79">
        <v>0.11805555555555555</v>
      </c>
      <c r="L11" s="79">
        <v>0.10069444444444445</v>
      </c>
      <c r="M11" s="79">
        <v>9.4444444444444442E-2</v>
      </c>
      <c r="N11" s="79">
        <v>9.375E-2</v>
      </c>
      <c r="O11" s="79">
        <v>0.1388888888888889</v>
      </c>
      <c r="P11" s="79">
        <v>0.12361111111111112</v>
      </c>
      <c r="Q11" s="79">
        <v>0.14027777777777778</v>
      </c>
      <c r="R11" s="79">
        <v>0.10208333333333333</v>
      </c>
      <c r="S11" s="79">
        <v>7.9861111111111105E-2</v>
      </c>
      <c r="T11" s="79">
        <v>9.375E-2</v>
      </c>
      <c r="U11" s="79">
        <v>8.8888888888888892E-2</v>
      </c>
      <c r="V11" s="79">
        <v>8.4722222222222227E-2</v>
      </c>
      <c r="W11" s="79">
        <v>0.11874999999999999</v>
      </c>
      <c r="X11" s="79">
        <v>0.10833333333333334</v>
      </c>
      <c r="Y11" s="79">
        <v>9.6527777777777782E-2</v>
      </c>
      <c r="Z11" s="79">
        <v>9.4444444444444442E-2</v>
      </c>
      <c r="AA11" s="79">
        <v>0.1111111111111111</v>
      </c>
      <c r="AB11" s="79">
        <v>0.10972222222222222</v>
      </c>
      <c r="AC11" s="79">
        <v>0.1111111111111111</v>
      </c>
      <c r="AD11" s="79">
        <v>0.12083333333333333</v>
      </c>
      <c r="AE11" s="79">
        <v>0.10277777777777777</v>
      </c>
      <c r="AF11" s="79">
        <v>9.583333333333334E-2</v>
      </c>
    </row>
    <row r="12" spans="1:32">
      <c r="A12" s="77" t="s">
        <v>161</v>
      </c>
      <c r="B12" s="140">
        <v>0.16666666666666666</v>
      </c>
      <c r="C12" s="50">
        <v>5.9027777777777797E-2</v>
      </c>
      <c r="D12" s="50">
        <v>0.12013888888888889</v>
      </c>
      <c r="E12" s="50">
        <v>0.109027777777778</v>
      </c>
      <c r="F12" s="50">
        <v>0.1</v>
      </c>
      <c r="G12" s="50">
        <v>0.15416666666666701</v>
      </c>
      <c r="H12" s="50">
        <v>9.5833333333333298E-2</v>
      </c>
      <c r="I12" s="50">
        <v>0.1125</v>
      </c>
      <c r="J12" s="50">
        <v>9.5833333333333298E-2</v>
      </c>
      <c r="K12" s="50">
        <v>9.5138888888888898E-2</v>
      </c>
      <c r="L12" s="50">
        <v>9.7222222222222196E-2</v>
      </c>
      <c r="M12" s="50">
        <v>0.102083333333333</v>
      </c>
      <c r="N12" s="50">
        <v>9.7222222222222196E-2</v>
      </c>
      <c r="O12" s="50">
        <v>0.12291666666666699</v>
      </c>
      <c r="P12" s="50">
        <v>0.12291666666666699</v>
      </c>
      <c r="Q12" s="50">
        <v>0.10625</v>
      </c>
      <c r="R12" s="50">
        <v>9.375E-2</v>
      </c>
      <c r="S12" s="50">
        <v>9.375E-2</v>
      </c>
      <c r="T12" s="50">
        <v>9.0277777777777776E-2</v>
      </c>
      <c r="U12" s="50">
        <v>0.11180555555555556</v>
      </c>
      <c r="V12" s="50">
        <v>6.25E-2</v>
      </c>
      <c r="W12" s="50">
        <v>5.6250000000000001E-2</v>
      </c>
      <c r="X12" s="50">
        <v>6.1111111111111116E-2</v>
      </c>
      <c r="Y12" s="50">
        <v>0.10902777777777778</v>
      </c>
      <c r="Z12" s="50">
        <v>9.2361111111111116E-2</v>
      </c>
      <c r="AA12" s="50">
        <v>9.6527777777777768E-2</v>
      </c>
      <c r="AB12" s="50">
        <v>0.1076388888888889</v>
      </c>
      <c r="AC12" s="50">
        <v>0.13402777777777777</v>
      </c>
      <c r="AD12" s="50">
        <v>5.9027777777777783E-2</v>
      </c>
      <c r="AE12" s="50">
        <v>6.805555555555555E-2</v>
      </c>
      <c r="AF12" s="50">
        <v>9.3055555555555558E-2</v>
      </c>
    </row>
    <row r="13" spans="1:32">
      <c r="A13" s="77" t="s">
        <v>184</v>
      </c>
      <c r="B13" s="140">
        <v>0.16666666666666666</v>
      </c>
      <c r="C13" s="50">
        <v>0.15694444444444444</v>
      </c>
      <c r="D13" s="50">
        <v>0.12569444444444444</v>
      </c>
      <c r="E13" s="50">
        <v>0.11388888888888889</v>
      </c>
      <c r="F13" s="50">
        <v>0.12083333333333333</v>
      </c>
      <c r="G13" s="50">
        <v>0.1111111111111111</v>
      </c>
      <c r="H13" s="50">
        <v>0.12083333333333333</v>
      </c>
      <c r="I13" s="50">
        <v>0.13541666666666666</v>
      </c>
      <c r="J13" s="50">
        <v>0.13750000000000001</v>
      </c>
      <c r="K13" s="50">
        <v>0.13194444444444445</v>
      </c>
      <c r="L13" s="50">
        <v>0.1125</v>
      </c>
      <c r="M13" s="50">
        <v>0.12222222222222222</v>
      </c>
      <c r="N13" s="50">
        <v>0.14444444444444443</v>
      </c>
      <c r="O13" s="50">
        <v>0.13819444444444445</v>
      </c>
      <c r="P13" s="50">
        <v>0.13472222222222222</v>
      </c>
      <c r="Q13" s="50">
        <v>0.1388888888888889</v>
      </c>
      <c r="R13" s="50">
        <v>0.14027777777777778</v>
      </c>
      <c r="S13" s="50">
        <v>0.11805555555555555</v>
      </c>
      <c r="T13" s="50">
        <v>0.13125000000000001</v>
      </c>
      <c r="U13" s="50">
        <v>0.12430555555555556</v>
      </c>
      <c r="V13" s="50">
        <v>0.11388888888888889</v>
      </c>
      <c r="W13" s="50">
        <v>0.12916666666666668</v>
      </c>
      <c r="X13" s="50">
        <v>0.125</v>
      </c>
      <c r="Y13" s="50">
        <v>0.16180555555555556</v>
      </c>
      <c r="Z13" s="50">
        <v>0.12291666666666666</v>
      </c>
      <c r="AA13" s="50">
        <v>0.13125000000000001</v>
      </c>
      <c r="AB13" s="50">
        <v>0.12708333333333333</v>
      </c>
      <c r="AC13" s="50">
        <v>0.12777777777777777</v>
      </c>
      <c r="AD13" s="50">
        <v>0.125</v>
      </c>
      <c r="AE13" s="50">
        <v>0.11874999999999999</v>
      </c>
      <c r="AF13" s="50">
        <v>0.12986111111111112</v>
      </c>
    </row>
    <row r="14" spans="1:32">
      <c r="A14" s="77" t="s">
        <v>185</v>
      </c>
      <c r="B14" s="140">
        <v>0.16666666666666666</v>
      </c>
      <c r="C14" s="50">
        <v>0.15486111111111112</v>
      </c>
      <c r="D14" s="50">
        <v>0.13541666666666666</v>
      </c>
      <c r="E14" s="50">
        <v>0.1388888888888889</v>
      </c>
      <c r="F14" s="50">
        <v>0.16527777777777777</v>
      </c>
      <c r="G14" s="50">
        <v>0.15625</v>
      </c>
      <c r="H14" s="50">
        <v>0.15555555555555556</v>
      </c>
      <c r="I14" s="50">
        <v>0.16597222222222222</v>
      </c>
      <c r="J14" s="50">
        <v>0.16527777777777777</v>
      </c>
      <c r="K14" s="50">
        <v>0.16319444444444445</v>
      </c>
      <c r="L14" s="50">
        <v>0.14166666666666666</v>
      </c>
      <c r="M14" s="50">
        <v>0.13541666666666666</v>
      </c>
      <c r="N14" s="50">
        <v>0.14166666666666666</v>
      </c>
      <c r="O14" s="50">
        <v>0.16874999999999998</v>
      </c>
      <c r="P14" s="50">
        <v>0.17013888888888887</v>
      </c>
      <c r="Q14" s="50">
        <v>0.16180555555555556</v>
      </c>
      <c r="R14" s="50">
        <v>0.16666666666666666</v>
      </c>
      <c r="S14" s="50">
        <v>0.13125000000000001</v>
      </c>
      <c r="T14" s="50">
        <v>0.16111111111111112</v>
      </c>
      <c r="U14" s="50">
        <v>0.1361111111111111</v>
      </c>
      <c r="V14" s="50">
        <v>0.1361111111111111</v>
      </c>
      <c r="W14" s="50">
        <v>0.17222222222222225</v>
      </c>
      <c r="X14" s="50">
        <v>0.14305555555555557</v>
      </c>
      <c r="Y14" s="50">
        <v>0.14652777777777778</v>
      </c>
      <c r="Z14" s="50">
        <v>0.15416666666666667</v>
      </c>
      <c r="AA14" s="50">
        <v>0.13749999999999998</v>
      </c>
      <c r="AB14" s="50">
        <v>0.16458333333333333</v>
      </c>
      <c r="AC14" s="50">
        <v>0.14305555555555555</v>
      </c>
      <c r="AD14" s="50">
        <v>0.1673611111111111</v>
      </c>
      <c r="AE14" s="50">
        <v>0.1451388888888889</v>
      </c>
      <c r="AF14" s="50">
        <v>0.15</v>
      </c>
    </row>
    <row r="15" spans="1:32">
      <c r="A15" s="77" t="s">
        <v>186</v>
      </c>
      <c r="B15" s="140">
        <v>0.10416666666666667</v>
      </c>
      <c r="C15" s="79">
        <v>6.458333333333334E-2</v>
      </c>
      <c r="D15" s="79">
        <v>6.458333333333334E-2</v>
      </c>
      <c r="E15" s="79">
        <v>8.6805555555555552E-2</v>
      </c>
      <c r="F15" s="79">
        <v>8.6805555555555552E-2</v>
      </c>
      <c r="G15" s="79">
        <v>6.5972222222222224E-2</v>
      </c>
      <c r="H15" s="79">
        <v>6.458333333333334E-2</v>
      </c>
      <c r="I15" s="79">
        <v>5.7638888888888892E-2</v>
      </c>
      <c r="J15" s="79"/>
      <c r="K15" s="79">
        <v>7.9861111111111105E-2</v>
      </c>
      <c r="L15" s="79">
        <v>5.7638888888888892E-2</v>
      </c>
      <c r="M15" s="79">
        <v>7.4999999999999997E-2</v>
      </c>
      <c r="N15" s="79">
        <v>5.5555555555555552E-2</v>
      </c>
      <c r="O15" s="79">
        <v>9.0277777777777776E-2</v>
      </c>
      <c r="P15" s="79">
        <v>6.9444444444444448E-2</v>
      </c>
      <c r="Q15" s="79">
        <v>6.7361111111111108E-2</v>
      </c>
      <c r="R15" s="79">
        <v>8.3333333333333329E-2</v>
      </c>
      <c r="S15" s="79">
        <v>6.25E-2</v>
      </c>
      <c r="T15" s="79">
        <v>5.6944444444444443E-2</v>
      </c>
      <c r="U15" s="79">
        <v>5.9027777777777776E-2</v>
      </c>
      <c r="V15" s="79">
        <v>5.5555555555555552E-2</v>
      </c>
      <c r="W15" s="79">
        <v>7.2916666666666671E-2</v>
      </c>
      <c r="X15" s="79">
        <v>6.5972222222222224E-2</v>
      </c>
      <c r="Y15" s="79">
        <v>6.458333333333334E-2</v>
      </c>
      <c r="Z15" s="79">
        <v>6.805555555555555E-2</v>
      </c>
      <c r="AA15" s="79">
        <v>5.7638888888888892E-2</v>
      </c>
      <c r="AB15" s="79">
        <v>6.5972222222222224E-2</v>
      </c>
      <c r="AC15" s="79">
        <v>6.9444444444444448E-2</v>
      </c>
      <c r="AD15" s="79">
        <v>6.805555555555555E-2</v>
      </c>
      <c r="AE15" s="79">
        <v>7.8472222222222221E-2</v>
      </c>
      <c r="AF15" s="79">
        <v>6.6666666666666666E-2</v>
      </c>
    </row>
    <row r="18" spans="2:2">
      <c r="B18" s="140">
        <v>0.16666666666666666</v>
      </c>
    </row>
    <row r="19" spans="2:2">
      <c r="B19" s="2">
        <v>0.1875</v>
      </c>
    </row>
    <row r="20" spans="2:2">
      <c r="B20" s="2">
        <v>0.10416666666666667</v>
      </c>
    </row>
    <row r="21" spans="2:2">
      <c r="B21" s="2">
        <v>0.125</v>
      </c>
    </row>
    <row r="22" spans="2:2">
      <c r="B22" s="2">
        <v>0.17708333333333334</v>
      </c>
    </row>
    <row r="23" spans="2:2">
      <c r="B23" s="2">
        <v>0.19791666666666666</v>
      </c>
    </row>
  </sheetData>
  <sortState xmlns:xlrd2="http://schemas.microsoft.com/office/spreadsheetml/2017/richdata2" ref="A2:AF15">
    <sortCondition ref="A2:A15"/>
  </sortState>
  <conditionalFormatting sqref="C2:AF4">
    <cfRule type="cellIs" dxfId="108" priority="10" operator="lessThan">
      <formula>$B$18</formula>
    </cfRule>
    <cfRule type="cellIs" dxfId="107" priority="11" operator="greaterThan">
      <formula>$B$18</formula>
    </cfRule>
    <cfRule type="cellIs" dxfId="106" priority="12" operator="greaterThan">
      <formula>$B$19</formula>
    </cfRule>
  </conditionalFormatting>
  <conditionalFormatting sqref="C5:AF5">
    <cfRule type="cellIs" dxfId="105" priority="26" operator="greaterThan">
      <formula>$B$5</formula>
    </cfRule>
  </conditionalFormatting>
  <conditionalFormatting sqref="C6:AF10">
    <cfRule type="cellIs" dxfId="104" priority="1" operator="lessThan">
      <formula>$B$18</formula>
    </cfRule>
    <cfRule type="cellIs" dxfId="103" priority="2" operator="greaterThan">
      <formula>$B$18</formula>
    </cfRule>
    <cfRule type="cellIs" dxfId="102" priority="3" operator="greaterThan">
      <formula>$B$19</formula>
    </cfRule>
  </conditionalFormatting>
  <conditionalFormatting sqref="C11:AF11 C15:AF15">
    <cfRule type="cellIs" dxfId="101" priority="25" operator="greaterThan">
      <formula>$B$14</formula>
    </cfRule>
  </conditionalFormatting>
  <conditionalFormatting sqref="C11:AF11">
    <cfRule type="cellIs" dxfId="100" priority="24" operator="greaterThan">
      <formula>$B$11</formula>
    </cfRule>
  </conditionalFormatting>
  <conditionalFormatting sqref="C12:AF14">
    <cfRule type="cellIs" dxfId="99" priority="4" operator="lessThan">
      <formula>$B$18</formula>
    </cfRule>
    <cfRule type="cellIs" dxfId="98" priority="5" operator="greaterThan">
      <formula>$B$18</formula>
    </cfRule>
    <cfRule type="cellIs" dxfId="97" priority="6" operator="greaterThan">
      <formula>$B$19</formula>
    </cfRule>
  </conditionalFormatting>
  <conditionalFormatting sqref="C15:AF15">
    <cfRule type="cellIs" dxfId="96" priority="21" operator="greaterThan">
      <formula>$B$15</formula>
    </cfRule>
  </conditionalFormatting>
  <conditionalFormatting sqref="O19">
    <cfRule type="cellIs" dxfId="95" priority="13" operator="equal">
      <formula>$B$18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3DF1-0B71-469E-AD0F-981ACCE8ECDE}">
  <dimension ref="A1:AQ52"/>
  <sheetViews>
    <sheetView topLeftCell="A32" workbookViewId="0">
      <selection activeCell="R50" sqref="R50"/>
    </sheetView>
  </sheetViews>
  <sheetFormatPr defaultRowHeight="14.5"/>
  <cols>
    <col min="1" max="1" width="13.81640625" bestFit="1" customWidth="1"/>
    <col min="2" max="2" width="10.81640625" bestFit="1" customWidth="1"/>
    <col min="3" max="3" width="13.54296875" bestFit="1" customWidth="1"/>
    <col min="4" max="4" width="13.81640625" bestFit="1" customWidth="1"/>
    <col min="5" max="6" width="9.54296875" bestFit="1" customWidth="1"/>
    <col min="7" max="7" width="10.7265625" bestFit="1" customWidth="1"/>
    <col min="8" max="13" width="9.54296875" bestFit="1" customWidth="1"/>
    <col min="14" max="14" width="10.26953125" bestFit="1" customWidth="1"/>
    <col min="15" max="15" width="11.26953125" bestFit="1" customWidth="1"/>
    <col min="16" max="16" width="10.7265625" bestFit="1" customWidth="1"/>
    <col min="17" max="17" width="5.81640625" bestFit="1" customWidth="1"/>
    <col min="18" max="18" width="8.81640625" bestFit="1" customWidth="1"/>
    <col min="19" max="19" width="7.1796875" bestFit="1" customWidth="1"/>
    <col min="20" max="20" width="8.26953125" bestFit="1" customWidth="1"/>
    <col min="21" max="21" width="10.54296875" bestFit="1" customWidth="1"/>
    <col min="23" max="23" width="7.54296875" bestFit="1" customWidth="1"/>
    <col min="24" max="24" width="8.7265625" bestFit="1" customWidth="1"/>
    <col min="25" max="25" width="8.54296875" bestFit="1" customWidth="1"/>
    <col min="26" max="26" width="7.453125" bestFit="1" customWidth="1"/>
    <col min="27" max="27" width="5.54296875" bestFit="1" customWidth="1"/>
    <col min="28" max="28" width="10.1796875" bestFit="1" customWidth="1"/>
    <col min="29" max="29" width="11.1796875" bestFit="1" customWidth="1"/>
  </cols>
  <sheetData>
    <row r="1" spans="2:43">
      <c r="P1" s="148" t="s">
        <v>192</v>
      </c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9" t="s">
        <v>195</v>
      </c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2:43">
      <c r="B2" s="77" t="s">
        <v>32</v>
      </c>
      <c r="C2" s="77" t="s">
        <v>43</v>
      </c>
      <c r="D2" s="77" t="s">
        <v>81</v>
      </c>
      <c r="E2" s="77" t="s">
        <v>50</v>
      </c>
      <c r="F2" s="77" t="s">
        <v>150</v>
      </c>
      <c r="G2" s="77" t="s">
        <v>153</v>
      </c>
      <c r="H2" s="77" t="s">
        <v>156</v>
      </c>
      <c r="I2" s="77" t="s">
        <v>157</v>
      </c>
      <c r="J2" s="77" t="s">
        <v>158</v>
      </c>
      <c r="K2" s="77" t="s">
        <v>159</v>
      </c>
      <c r="L2" s="77" t="s">
        <v>161</v>
      </c>
      <c r="M2" s="77" t="s">
        <v>184</v>
      </c>
      <c r="N2" s="77" t="s">
        <v>185</v>
      </c>
      <c r="O2" s="77" t="s">
        <v>186</v>
      </c>
      <c r="P2" s="77" t="s">
        <v>32</v>
      </c>
      <c r="Q2" s="77" t="s">
        <v>43</v>
      </c>
      <c r="R2" s="77" t="s">
        <v>81</v>
      </c>
      <c r="S2" s="77" t="s">
        <v>50</v>
      </c>
      <c r="T2" s="77" t="s">
        <v>150</v>
      </c>
      <c r="U2" s="77" t="s">
        <v>153</v>
      </c>
      <c r="V2" s="77" t="s">
        <v>156</v>
      </c>
      <c r="W2" s="77" t="s">
        <v>157</v>
      </c>
      <c r="X2" s="77" t="s">
        <v>158</v>
      </c>
      <c r="Y2" s="77" t="s">
        <v>159</v>
      </c>
      <c r="Z2" s="77" t="s">
        <v>161</v>
      </c>
      <c r="AA2" s="77" t="s">
        <v>184</v>
      </c>
      <c r="AB2" s="77" t="s">
        <v>185</v>
      </c>
      <c r="AC2" s="77" t="s">
        <v>186</v>
      </c>
      <c r="AD2" t="s">
        <v>32</v>
      </c>
      <c r="AE2" t="s">
        <v>43</v>
      </c>
      <c r="AF2" t="s">
        <v>81</v>
      </c>
      <c r="AG2" t="s">
        <v>50</v>
      </c>
      <c r="AH2" t="s">
        <v>150</v>
      </c>
      <c r="AI2" t="s">
        <v>153</v>
      </c>
      <c r="AJ2" t="s">
        <v>156</v>
      </c>
      <c r="AK2" t="s">
        <v>157</v>
      </c>
      <c r="AL2" t="s">
        <v>158</v>
      </c>
      <c r="AM2" t="s">
        <v>159</v>
      </c>
      <c r="AN2" t="s">
        <v>161</v>
      </c>
      <c r="AO2" t="s">
        <v>184</v>
      </c>
      <c r="AP2" t="s">
        <v>185</v>
      </c>
      <c r="AQ2" t="s">
        <v>186</v>
      </c>
    </row>
    <row r="3" spans="2:43">
      <c r="B3">
        <v>85</v>
      </c>
      <c r="C3">
        <v>94.999999999999986</v>
      </c>
      <c r="D3">
        <v>66</v>
      </c>
      <c r="E3">
        <v>18.999999999996799</v>
      </c>
      <c r="F3">
        <v>87.999999999999972</v>
      </c>
      <c r="G3">
        <v>55.000000000000014</v>
      </c>
      <c r="H3">
        <v>81</v>
      </c>
      <c r="I3">
        <v>83</v>
      </c>
      <c r="J3">
        <v>78.999999999999986</v>
      </c>
      <c r="K3">
        <v>29.000000000000004</v>
      </c>
      <c r="L3">
        <v>115</v>
      </c>
      <c r="M3">
        <v>63</v>
      </c>
      <c r="N3">
        <v>58.999999999999972</v>
      </c>
      <c r="O3">
        <v>96</v>
      </c>
      <c r="P3" s="147">
        <f>(B3-B$36)/B$34</f>
        <v>-0.76301636209315771</v>
      </c>
      <c r="Q3" s="147">
        <f t="shared" ref="Q3:AC3" si="0">(C3-C$36)/C$34</f>
        <v>0.65946344251435662</v>
      </c>
      <c r="R3" s="147">
        <f t="shared" si="0"/>
        <v>0.50205140152070704</v>
      </c>
      <c r="S3" s="147">
        <f t="shared" si="0"/>
        <v>-0.51834316000635616</v>
      </c>
      <c r="T3" s="147">
        <f t="shared" si="0"/>
        <v>-0.49756136039858406</v>
      </c>
      <c r="U3" s="147">
        <f t="shared" si="0"/>
        <v>-8.2365070413260313E-2</v>
      </c>
      <c r="V3" s="147">
        <f t="shared" si="0"/>
        <v>0.65940595817649472</v>
      </c>
      <c r="W3" s="147">
        <f t="shared" si="0"/>
        <v>-0.35037496126241457</v>
      </c>
      <c r="X3" s="147">
        <f t="shared" si="0"/>
        <v>-0.57575960005325844</v>
      </c>
      <c r="Y3" s="147">
        <f t="shared" si="0"/>
        <v>-1.4774885595785285</v>
      </c>
      <c r="Z3" s="147">
        <f t="shared" si="0"/>
        <v>0.69706610434191119</v>
      </c>
      <c r="AA3" s="147">
        <f t="shared" si="0"/>
        <v>-2.0177814521410253</v>
      </c>
      <c r="AB3" s="147">
        <f t="shared" si="0"/>
        <v>-0.69752430701034251</v>
      </c>
      <c r="AC3" s="147">
        <f t="shared" si="0"/>
        <v>-0.64504198230526189</v>
      </c>
      <c r="AD3" s="47">
        <f>ABS(P3)</f>
        <v>0.76301636209315771</v>
      </c>
      <c r="AE3" s="47">
        <f t="shared" ref="AE3:AQ3" si="1">ABS(Q3)</f>
        <v>0.65946344251435662</v>
      </c>
      <c r="AF3" s="47">
        <f t="shared" si="1"/>
        <v>0.50205140152070704</v>
      </c>
      <c r="AG3" s="47">
        <f t="shared" si="1"/>
        <v>0.51834316000635616</v>
      </c>
      <c r="AH3" s="47">
        <f t="shared" si="1"/>
        <v>0.49756136039858406</v>
      </c>
      <c r="AI3" s="47">
        <f t="shared" si="1"/>
        <v>8.2365070413260313E-2</v>
      </c>
      <c r="AJ3" s="47">
        <f t="shared" si="1"/>
        <v>0.65940595817649472</v>
      </c>
      <c r="AK3" s="47">
        <f t="shared" si="1"/>
        <v>0.35037496126241457</v>
      </c>
      <c r="AL3" s="47">
        <f t="shared" si="1"/>
        <v>0.57575960005325844</v>
      </c>
      <c r="AM3" s="47">
        <f t="shared" si="1"/>
        <v>1.4774885595785285</v>
      </c>
      <c r="AN3" s="47">
        <f t="shared" si="1"/>
        <v>0.69706610434191119</v>
      </c>
      <c r="AO3" s="47">
        <f t="shared" si="1"/>
        <v>2.0177814521410253</v>
      </c>
      <c r="AP3" s="47">
        <f t="shared" si="1"/>
        <v>0.69752430701034251</v>
      </c>
      <c r="AQ3" s="47">
        <f t="shared" si="1"/>
        <v>0.64504198230526189</v>
      </c>
    </row>
    <row r="4" spans="2:43">
      <c r="B4">
        <v>90</v>
      </c>
      <c r="C4">
        <v>109</v>
      </c>
      <c r="D4">
        <v>81.999999999999986</v>
      </c>
      <c r="E4">
        <v>24.999999999996799</v>
      </c>
      <c r="F4">
        <v>113</v>
      </c>
      <c r="G4">
        <v>55.000000000000021</v>
      </c>
      <c r="H4">
        <v>75</v>
      </c>
      <c r="I4">
        <v>102.99999999999997</v>
      </c>
      <c r="J4">
        <v>89</v>
      </c>
      <c r="K4">
        <v>68</v>
      </c>
      <c r="L4">
        <v>124</v>
      </c>
      <c r="M4">
        <v>115</v>
      </c>
      <c r="N4">
        <v>91</v>
      </c>
      <c r="O4">
        <v>91</v>
      </c>
      <c r="P4" s="147">
        <f t="shared" ref="P4:P32" si="2">(B4-B$36)/B$34</f>
        <v>8.4779595788128631E-2</v>
      </c>
      <c r="Q4" s="147">
        <f t="shared" ref="Q4:Q32" si="3">(C4-C$36)/C$34</f>
        <v>1.4288374587811077</v>
      </c>
      <c r="R4" s="147">
        <f t="shared" ref="R4:R32" si="4">(D4-D$36)/D$34</f>
        <v>1.5061542045621183</v>
      </c>
      <c r="S4" s="147">
        <f t="shared" ref="S4:S32" si="5">(E4-E$36)/E$34</f>
        <v>-7.4049022858254487E-2</v>
      </c>
      <c r="T4" s="147">
        <f t="shared" ref="T4:T32" si="6">(F4-F$36)/F$34</f>
        <v>1.0573178908469874</v>
      </c>
      <c r="U4" s="147">
        <f t="shared" ref="U4:U32" si="7">(G4-G$36)/G$34</f>
        <v>-8.2365070413259731E-2</v>
      </c>
      <c r="V4" s="147">
        <f t="shared" ref="V4:V32" si="8">(H4-H$36)/H$34</f>
        <v>0.26376238327059792</v>
      </c>
      <c r="W4" s="147">
        <f t="shared" ref="W4:W32" si="9">(I4-I$36)/I$34</f>
        <v>0.81754157627896573</v>
      </c>
      <c r="X4" s="147">
        <f t="shared" ref="X4:X32" si="10">(J4-J$36)/J$34</f>
        <v>0.57575960005325677</v>
      </c>
      <c r="Y4" s="147">
        <f t="shared" ref="Y4:Y32" si="11">(K4-K$36)/K$34</f>
        <v>0.58044193412013212</v>
      </c>
      <c r="Z4" s="147">
        <f t="shared" ref="Z4:Z32" si="12">(L4-L$36)/L$34</f>
        <v>1.0555572437177552</v>
      </c>
      <c r="AA4" s="147">
        <f t="shared" ref="AA4:AA32" si="13">(M4-M$36)/M$34</f>
        <v>1.068237239368778</v>
      </c>
      <c r="AB4" s="147">
        <f t="shared" ref="AB4:AB32" si="14">(N4-N$36)/N$34</f>
        <v>1.4282640572116498</v>
      </c>
      <c r="AC4" s="147">
        <f t="shared" ref="AC4:AC32" si="15">(O4-O$36)/O$34</f>
        <v>-1.4513444601868393</v>
      </c>
      <c r="AD4" s="47">
        <f t="shared" ref="AD4:AD32" si="16">ABS(P4)</f>
        <v>8.4779595788128631E-2</v>
      </c>
      <c r="AE4" s="47">
        <f t="shared" ref="AE4:AE32" si="17">ABS(Q4)</f>
        <v>1.4288374587811077</v>
      </c>
      <c r="AF4" s="47">
        <f t="shared" ref="AF4:AF32" si="18">ABS(R4)</f>
        <v>1.5061542045621183</v>
      </c>
      <c r="AG4" s="47">
        <f t="shared" ref="AG4:AG32" si="19">ABS(S4)</f>
        <v>7.4049022858254487E-2</v>
      </c>
      <c r="AH4" s="47">
        <f t="shared" ref="AH4:AH32" si="20">ABS(T4)</f>
        <v>1.0573178908469874</v>
      </c>
      <c r="AI4" s="47">
        <f t="shared" ref="AI4:AI32" si="21">ABS(U4)</f>
        <v>8.2365070413259731E-2</v>
      </c>
      <c r="AJ4" s="47">
        <f t="shared" ref="AJ4:AJ32" si="22">ABS(V4)</f>
        <v>0.26376238327059792</v>
      </c>
      <c r="AK4" s="47">
        <f t="shared" ref="AK4:AK32" si="23">ABS(W4)</f>
        <v>0.81754157627896573</v>
      </c>
      <c r="AL4" s="47">
        <f t="shared" ref="AL4:AL32" si="24">ABS(X4)</f>
        <v>0.57575960005325677</v>
      </c>
      <c r="AM4" s="47">
        <f t="shared" ref="AM4:AM32" si="25">ABS(Y4)</f>
        <v>0.58044193412013212</v>
      </c>
      <c r="AN4" s="47">
        <f t="shared" ref="AN4:AN32" si="26">ABS(Z4)</f>
        <v>1.0555572437177552</v>
      </c>
      <c r="AO4" s="47">
        <f t="shared" ref="AO4:AO32" si="27">ABS(AA4)</f>
        <v>1.068237239368778</v>
      </c>
      <c r="AP4" s="47">
        <f t="shared" ref="AP4:AP32" si="28">ABS(AB4)</f>
        <v>1.4282640572116498</v>
      </c>
      <c r="AQ4" s="47">
        <f t="shared" ref="AQ4:AQ32" si="29">ABS(AC4)</f>
        <v>1.4513444601868393</v>
      </c>
    </row>
    <row r="5" spans="2:43">
      <c r="B5">
        <v>89</v>
      </c>
      <c r="C5">
        <v>116.99999999999997</v>
      </c>
      <c r="D5">
        <v>78.999999999999986</v>
      </c>
      <c r="E5">
        <v>23.00000000000481</v>
      </c>
      <c r="F5">
        <v>83.999999999999986</v>
      </c>
      <c r="G5">
        <v>70</v>
      </c>
      <c r="H5">
        <v>82.999999999999972</v>
      </c>
      <c r="I5">
        <v>114.99999999999999</v>
      </c>
      <c r="J5">
        <v>91.999999999999986</v>
      </c>
      <c r="K5">
        <v>69.000000000000043</v>
      </c>
      <c r="L5">
        <v>85.999999999999659</v>
      </c>
      <c r="M5">
        <v>104.99999999999999</v>
      </c>
      <c r="N5">
        <v>77.999999999999972</v>
      </c>
      <c r="O5">
        <v>95.000000000000014</v>
      </c>
      <c r="P5" s="147">
        <f t="shared" si="2"/>
        <v>-8.4779595788128631E-2</v>
      </c>
      <c r="Q5" s="147">
        <f t="shared" si="3"/>
        <v>1.8684797537906777</v>
      </c>
      <c r="R5" s="147">
        <f t="shared" si="4"/>
        <v>1.3178849289918535</v>
      </c>
      <c r="S5" s="147">
        <f t="shared" si="5"/>
        <v>-0.22214706857369512</v>
      </c>
      <c r="T5" s="147">
        <f t="shared" si="6"/>
        <v>-0.74634204059787435</v>
      </c>
      <c r="U5" s="147">
        <f t="shared" si="7"/>
        <v>1.1531109857856345</v>
      </c>
      <c r="V5" s="147">
        <f t="shared" si="8"/>
        <v>0.79128714981179182</v>
      </c>
      <c r="W5" s="147">
        <f t="shared" si="9"/>
        <v>1.5182914988037957</v>
      </c>
      <c r="X5" s="147">
        <f t="shared" si="10"/>
        <v>0.92121536008520921</v>
      </c>
      <c r="Y5" s="147">
        <f t="shared" si="11"/>
        <v>0.63320938267651028</v>
      </c>
      <c r="Z5" s="147">
        <f t="shared" si="12"/>
        <v>-0.45807201142471121</v>
      </c>
      <c r="AA5" s="147">
        <f t="shared" si="13"/>
        <v>0.47477210638612277</v>
      </c>
      <c r="AB5" s="147">
        <f t="shared" si="14"/>
        <v>0.5646625342464644</v>
      </c>
      <c r="AC5" s="147">
        <f t="shared" si="15"/>
        <v>-0.80630247788157516</v>
      </c>
      <c r="AD5" s="47">
        <f t="shared" si="16"/>
        <v>8.4779595788128631E-2</v>
      </c>
      <c r="AE5" s="47">
        <f t="shared" si="17"/>
        <v>1.8684797537906777</v>
      </c>
      <c r="AF5" s="47">
        <f t="shared" si="18"/>
        <v>1.3178849289918535</v>
      </c>
      <c r="AG5" s="47">
        <f t="shared" si="19"/>
        <v>0.22214706857369512</v>
      </c>
      <c r="AH5" s="47">
        <f t="shared" si="20"/>
        <v>0.74634204059787435</v>
      </c>
      <c r="AI5" s="47">
        <f t="shared" si="21"/>
        <v>1.1531109857856345</v>
      </c>
      <c r="AJ5" s="47">
        <f t="shared" si="22"/>
        <v>0.79128714981179182</v>
      </c>
      <c r="AK5" s="47">
        <f t="shared" si="23"/>
        <v>1.5182914988037957</v>
      </c>
      <c r="AL5" s="47">
        <f t="shared" si="24"/>
        <v>0.92121536008520921</v>
      </c>
      <c r="AM5" s="47">
        <f t="shared" si="25"/>
        <v>0.63320938267651028</v>
      </c>
      <c r="AN5" s="47">
        <f t="shared" si="26"/>
        <v>0.45807201142471121</v>
      </c>
      <c r="AO5" s="47">
        <f t="shared" si="27"/>
        <v>0.47477210638612277</v>
      </c>
      <c r="AP5" s="47">
        <f t="shared" si="28"/>
        <v>0.5646625342464644</v>
      </c>
      <c r="AQ5" s="47">
        <f t="shared" si="29"/>
        <v>0.80630247788157516</v>
      </c>
    </row>
    <row r="6" spans="2:43">
      <c r="B6">
        <v>93.999999999999972</v>
      </c>
      <c r="C6">
        <v>75.999999999999972</v>
      </c>
      <c r="D6">
        <v>60.99999999999995</v>
      </c>
      <c r="E6">
        <v>47.000000000004817</v>
      </c>
      <c r="F6">
        <v>110.99999999999999</v>
      </c>
      <c r="G6">
        <v>83.000000000000014</v>
      </c>
      <c r="H6">
        <v>69</v>
      </c>
      <c r="I6">
        <v>93.999999999999972</v>
      </c>
      <c r="J6">
        <v>62.999999999999986</v>
      </c>
      <c r="K6">
        <v>17.00000000000005</v>
      </c>
      <c r="L6">
        <v>99.999999999999915</v>
      </c>
      <c r="M6">
        <v>98.999999999999986</v>
      </c>
      <c r="N6">
        <v>54.999999999999993</v>
      </c>
      <c r="O6">
        <v>89.000000000000014</v>
      </c>
      <c r="P6" s="147">
        <f t="shared" si="2"/>
        <v>0.76301636209315282</v>
      </c>
      <c r="Q6" s="147">
        <f t="shared" si="3"/>
        <v>-0.3846870081333767</v>
      </c>
      <c r="R6" s="147">
        <f t="shared" si="4"/>
        <v>0.18826927557026257</v>
      </c>
      <c r="S6" s="147">
        <f t="shared" si="5"/>
        <v>1.5550294800187119</v>
      </c>
      <c r="T6" s="147">
        <f t="shared" si="6"/>
        <v>0.93292755074734091</v>
      </c>
      <c r="U6" s="147">
        <f t="shared" si="7"/>
        <v>2.2238569011580123</v>
      </c>
      <c r="V6" s="147">
        <f t="shared" si="8"/>
        <v>-0.13188119163529896</v>
      </c>
      <c r="W6" s="147">
        <f t="shared" si="9"/>
        <v>0.29197913438534384</v>
      </c>
      <c r="X6" s="147">
        <f t="shared" si="10"/>
        <v>-2.4181903202236801</v>
      </c>
      <c r="Y6" s="147">
        <f t="shared" si="11"/>
        <v>-2.1106979422550372</v>
      </c>
      <c r="Z6" s="147">
        <f t="shared" si="12"/>
        <v>9.9580872048834257E-2</v>
      </c>
      <c r="AA6" s="147">
        <f t="shared" si="13"/>
        <v>0.11869302659653005</v>
      </c>
      <c r="AB6" s="147">
        <f t="shared" si="14"/>
        <v>-0.96324785253808998</v>
      </c>
      <c r="AC6" s="147">
        <f t="shared" si="15"/>
        <v>-1.773865451339468</v>
      </c>
      <c r="AD6" s="47">
        <f t="shared" si="16"/>
        <v>0.76301636209315282</v>
      </c>
      <c r="AE6" s="47">
        <f t="shared" si="17"/>
        <v>0.3846870081333767</v>
      </c>
      <c r="AF6" s="47">
        <f t="shared" si="18"/>
        <v>0.18826927557026257</v>
      </c>
      <c r="AG6" s="47">
        <f t="shared" si="19"/>
        <v>1.5550294800187119</v>
      </c>
      <c r="AH6" s="47">
        <f t="shared" si="20"/>
        <v>0.93292755074734091</v>
      </c>
      <c r="AI6" s="47">
        <f t="shared" si="21"/>
        <v>2.2238569011580123</v>
      </c>
      <c r="AJ6" s="47">
        <f t="shared" si="22"/>
        <v>0.13188119163529896</v>
      </c>
      <c r="AK6" s="47">
        <f t="shared" si="23"/>
        <v>0.29197913438534384</v>
      </c>
      <c r="AL6" s="47">
        <f t="shared" si="24"/>
        <v>2.4181903202236801</v>
      </c>
      <c r="AM6" s="47">
        <f t="shared" si="25"/>
        <v>2.1106979422550372</v>
      </c>
      <c r="AN6" s="47">
        <f t="shared" si="26"/>
        <v>9.9580872048834257E-2</v>
      </c>
      <c r="AO6" s="47">
        <f t="shared" si="27"/>
        <v>0.11869302659653005</v>
      </c>
      <c r="AP6" s="47">
        <f t="shared" si="28"/>
        <v>0.96324785253808998</v>
      </c>
      <c r="AQ6" s="47">
        <f t="shared" si="29"/>
        <v>1.773865451339468</v>
      </c>
    </row>
    <row r="7" spans="2:43">
      <c r="B7">
        <v>89.999999999999986</v>
      </c>
      <c r="C7">
        <v>59</v>
      </c>
      <c r="D7">
        <v>56.999999999999986</v>
      </c>
      <c r="E7">
        <v>25.00000000000481</v>
      </c>
      <c r="F7">
        <v>89.999999999999972</v>
      </c>
      <c r="G7">
        <v>46.000000000000028</v>
      </c>
      <c r="H7">
        <v>52.999999999999979</v>
      </c>
      <c r="I7">
        <v>89.999999999999972</v>
      </c>
      <c r="J7">
        <v>93</v>
      </c>
      <c r="K7">
        <v>67.000000000000057</v>
      </c>
      <c r="L7">
        <v>14.999999999999446</v>
      </c>
      <c r="M7">
        <v>112</v>
      </c>
      <c r="N7">
        <v>39.999999999999986</v>
      </c>
      <c r="O7">
        <v>99</v>
      </c>
      <c r="P7" s="147">
        <f t="shared" si="2"/>
        <v>8.4779595788126216E-2</v>
      </c>
      <c r="Q7" s="147">
        <f t="shared" si="3"/>
        <v>-1.3189268850287148</v>
      </c>
      <c r="R7" s="147">
        <f t="shared" si="4"/>
        <v>-6.2756425190088269E-2</v>
      </c>
      <c r="S7" s="147">
        <f t="shared" si="5"/>
        <v>-7.4049022857661254E-2</v>
      </c>
      <c r="T7" s="147">
        <f t="shared" si="6"/>
        <v>-0.37317102029893851</v>
      </c>
      <c r="U7" s="147">
        <f t="shared" si="7"/>
        <v>-0.82365070413259667</v>
      </c>
      <c r="V7" s="147">
        <f t="shared" si="8"/>
        <v>-1.1869307247176919</v>
      </c>
      <c r="W7" s="147">
        <f t="shared" si="9"/>
        <v>5.8395826877067437E-2</v>
      </c>
      <c r="X7" s="147">
        <f t="shared" si="10"/>
        <v>1.0363672800958621</v>
      </c>
      <c r="Y7" s="147">
        <f t="shared" si="11"/>
        <v>0.52767448556375918</v>
      </c>
      <c r="Z7" s="147">
        <f t="shared" si="12"/>
        <v>-3.2861687776119344</v>
      </c>
      <c r="AA7" s="147">
        <f t="shared" si="13"/>
        <v>0.89019769947398175</v>
      </c>
      <c r="AB7" s="147">
        <f t="shared" si="14"/>
        <v>-1.9597111482671485</v>
      </c>
      <c r="AC7" s="147">
        <f t="shared" si="15"/>
        <v>-0.16126049557631547</v>
      </c>
      <c r="AD7" s="47">
        <f t="shared" si="16"/>
        <v>8.4779595788126216E-2</v>
      </c>
      <c r="AE7" s="47">
        <f t="shared" si="17"/>
        <v>1.3189268850287148</v>
      </c>
      <c r="AF7" s="47">
        <f t="shared" si="18"/>
        <v>6.2756425190088269E-2</v>
      </c>
      <c r="AG7" s="47">
        <f t="shared" si="19"/>
        <v>7.4049022857661254E-2</v>
      </c>
      <c r="AH7" s="47">
        <f t="shared" si="20"/>
        <v>0.37317102029893851</v>
      </c>
      <c r="AI7" s="47">
        <f t="shared" si="21"/>
        <v>0.82365070413259667</v>
      </c>
      <c r="AJ7" s="47">
        <f t="shared" si="22"/>
        <v>1.1869307247176919</v>
      </c>
      <c r="AK7" s="47">
        <f t="shared" si="23"/>
        <v>5.8395826877067437E-2</v>
      </c>
      <c r="AL7" s="47">
        <f t="shared" si="24"/>
        <v>1.0363672800958621</v>
      </c>
      <c r="AM7" s="47">
        <f t="shared" si="25"/>
        <v>0.52767448556375918</v>
      </c>
      <c r="AN7" s="47">
        <f t="shared" si="26"/>
        <v>3.2861687776119344</v>
      </c>
      <c r="AO7" s="47">
        <f t="shared" si="27"/>
        <v>0.89019769947398175</v>
      </c>
      <c r="AP7" s="47">
        <f t="shared" si="28"/>
        <v>1.9597111482671485</v>
      </c>
      <c r="AQ7" s="47">
        <f t="shared" si="29"/>
        <v>0.16126049557631547</v>
      </c>
    </row>
    <row r="8" spans="2:43">
      <c r="B8">
        <v>87.999999999999986</v>
      </c>
      <c r="C8">
        <v>69.999999999999972</v>
      </c>
      <c r="D8">
        <v>36.999999999999957</v>
      </c>
      <c r="E8">
        <v>26.999999999996803</v>
      </c>
      <c r="F8">
        <v>97.999999999999986</v>
      </c>
      <c r="G8">
        <v>57.000000000000036</v>
      </c>
      <c r="H8">
        <v>76.999999999999986</v>
      </c>
      <c r="I8">
        <v>96</v>
      </c>
      <c r="J8">
        <v>86.999999999999972</v>
      </c>
      <c r="K8">
        <v>-3.9999999999999467</v>
      </c>
      <c r="L8">
        <v>108</v>
      </c>
      <c r="M8">
        <v>103.99999999999999</v>
      </c>
      <c r="N8">
        <v>43.999999999999986</v>
      </c>
      <c r="O8">
        <v>100</v>
      </c>
      <c r="P8" s="147">
        <f t="shared" si="2"/>
        <v>-0.25433878736438831</v>
      </c>
      <c r="Q8" s="147">
        <f t="shared" si="3"/>
        <v>-0.7144187293905554</v>
      </c>
      <c r="R8" s="147">
        <f t="shared" si="4"/>
        <v>-1.3178849289918553</v>
      </c>
      <c r="S8" s="147">
        <f t="shared" si="5"/>
        <v>7.4049022857779645E-2</v>
      </c>
      <c r="T8" s="147">
        <f t="shared" si="6"/>
        <v>0.1243903400996447</v>
      </c>
      <c r="U8" s="147">
        <f t="shared" si="7"/>
        <v>8.2365070413260896E-2</v>
      </c>
      <c r="V8" s="147">
        <f t="shared" si="8"/>
        <v>0.39564357490589591</v>
      </c>
      <c r="W8" s="147">
        <f t="shared" si="9"/>
        <v>0.4087707881394837</v>
      </c>
      <c r="X8" s="147">
        <f t="shared" si="10"/>
        <v>0.34545576003195078</v>
      </c>
      <c r="Y8" s="147">
        <f t="shared" si="11"/>
        <v>-3.2188143619389313</v>
      </c>
      <c r="Z8" s="147">
        <f t="shared" si="12"/>
        <v>0.4182396626051435</v>
      </c>
      <c r="AA8" s="147">
        <f t="shared" si="13"/>
        <v>0.41542559308785731</v>
      </c>
      <c r="AB8" s="147">
        <f t="shared" si="14"/>
        <v>-1.6939876027393996</v>
      </c>
      <c r="AC8" s="147">
        <f t="shared" si="15"/>
        <v>0</v>
      </c>
      <c r="AD8" s="47">
        <f t="shared" si="16"/>
        <v>0.25433878736438831</v>
      </c>
      <c r="AE8" s="47">
        <f t="shared" si="17"/>
        <v>0.7144187293905554</v>
      </c>
      <c r="AF8" s="47">
        <f t="shared" si="18"/>
        <v>1.3178849289918553</v>
      </c>
      <c r="AG8" s="47">
        <f t="shared" si="19"/>
        <v>7.4049022857779645E-2</v>
      </c>
      <c r="AH8" s="47">
        <f t="shared" si="20"/>
        <v>0.1243903400996447</v>
      </c>
      <c r="AI8" s="47">
        <f t="shared" si="21"/>
        <v>8.2365070413260896E-2</v>
      </c>
      <c r="AJ8" s="47">
        <f t="shared" si="22"/>
        <v>0.39564357490589591</v>
      </c>
      <c r="AK8" s="47">
        <f t="shared" si="23"/>
        <v>0.4087707881394837</v>
      </c>
      <c r="AL8" s="47">
        <f t="shared" si="24"/>
        <v>0.34545576003195078</v>
      </c>
      <c r="AM8" s="47">
        <f t="shared" si="25"/>
        <v>3.2188143619389313</v>
      </c>
      <c r="AN8" s="47">
        <f t="shared" si="26"/>
        <v>0.4182396626051435</v>
      </c>
      <c r="AO8" s="47">
        <f t="shared" si="27"/>
        <v>0.41542559308785731</v>
      </c>
      <c r="AP8" s="47">
        <f t="shared" si="28"/>
        <v>1.6939876027393996</v>
      </c>
      <c r="AQ8" s="47">
        <f t="shared" si="29"/>
        <v>0</v>
      </c>
    </row>
    <row r="9" spans="2:43">
      <c r="B9">
        <v>92.999999999999972</v>
      </c>
      <c r="C9">
        <v>94</v>
      </c>
      <c r="D9">
        <v>17.999999999999972</v>
      </c>
      <c r="E9">
        <v>28.000000000004814</v>
      </c>
      <c r="F9">
        <v>86</v>
      </c>
      <c r="G9">
        <v>52</v>
      </c>
      <c r="H9">
        <v>54.999999999999972</v>
      </c>
      <c r="I9">
        <v>84</v>
      </c>
      <c r="J9">
        <v>83.000000000000014</v>
      </c>
      <c r="K9">
        <v>43.000000000000043</v>
      </c>
      <c r="L9">
        <v>71.000000000000057</v>
      </c>
      <c r="M9">
        <v>85</v>
      </c>
      <c r="N9">
        <v>48</v>
      </c>
      <c r="O9">
        <v>102</v>
      </c>
      <c r="P9" s="147">
        <f t="shared" si="2"/>
        <v>0.59345717051689562</v>
      </c>
      <c r="Q9" s="147">
        <f t="shared" si="3"/>
        <v>0.60450815563816096</v>
      </c>
      <c r="R9" s="147">
        <f t="shared" si="4"/>
        <v>-2.5102570076035318</v>
      </c>
      <c r="S9" s="147">
        <f t="shared" si="5"/>
        <v>0.14809804571638982</v>
      </c>
      <c r="T9" s="147">
        <f t="shared" si="6"/>
        <v>-0.6219517004982279</v>
      </c>
      <c r="U9" s="147">
        <f t="shared" si="7"/>
        <v>-0.3294602816530407</v>
      </c>
      <c r="V9" s="147">
        <f t="shared" si="8"/>
        <v>-1.0550495330823935</v>
      </c>
      <c r="W9" s="147">
        <f t="shared" si="9"/>
        <v>-0.29197913438534551</v>
      </c>
      <c r="X9" s="147">
        <f t="shared" si="10"/>
        <v>-0.11515192001064972</v>
      </c>
      <c r="Y9" s="147">
        <f t="shared" si="11"/>
        <v>-0.73874427978926371</v>
      </c>
      <c r="Z9" s="147">
        <f t="shared" si="12"/>
        <v>-1.0555572437177689</v>
      </c>
      <c r="AA9" s="147">
        <f t="shared" si="13"/>
        <v>-0.71215815957918538</v>
      </c>
      <c r="AB9" s="147">
        <f t="shared" si="14"/>
        <v>-1.4282640572116498</v>
      </c>
      <c r="AC9" s="147">
        <f t="shared" si="15"/>
        <v>0.32252099115263094</v>
      </c>
      <c r="AD9" s="47">
        <f t="shared" si="16"/>
        <v>0.59345717051689562</v>
      </c>
      <c r="AE9" s="47">
        <f t="shared" si="17"/>
        <v>0.60450815563816096</v>
      </c>
      <c r="AF9" s="47">
        <f t="shared" si="18"/>
        <v>2.5102570076035318</v>
      </c>
      <c r="AG9" s="47">
        <f t="shared" si="19"/>
        <v>0.14809804571638982</v>
      </c>
      <c r="AH9" s="47">
        <f t="shared" si="20"/>
        <v>0.6219517004982279</v>
      </c>
      <c r="AI9" s="47">
        <f t="shared" si="21"/>
        <v>0.3294602816530407</v>
      </c>
      <c r="AJ9" s="47">
        <f t="shared" si="22"/>
        <v>1.0550495330823935</v>
      </c>
      <c r="AK9" s="47">
        <f t="shared" si="23"/>
        <v>0.29197913438534551</v>
      </c>
      <c r="AL9" s="47">
        <f t="shared" si="24"/>
        <v>0.11515192001064972</v>
      </c>
      <c r="AM9" s="47">
        <f t="shared" si="25"/>
        <v>0.73874427978926371</v>
      </c>
      <c r="AN9" s="47">
        <f t="shared" si="26"/>
        <v>1.0555572437177689</v>
      </c>
      <c r="AO9" s="47">
        <f t="shared" si="27"/>
        <v>0.71215815957918538</v>
      </c>
      <c r="AP9" s="47">
        <f t="shared" si="28"/>
        <v>1.4282640572116498</v>
      </c>
      <c r="AQ9" s="47">
        <f t="shared" si="29"/>
        <v>0.32252099115263094</v>
      </c>
    </row>
    <row r="10" spans="2:43">
      <c r="B10">
        <v>91</v>
      </c>
      <c r="C10">
        <v>67.999999999999972</v>
      </c>
      <c r="D10">
        <v>54.999999999999993</v>
      </c>
      <c r="E10">
        <v>28.999999999996799</v>
      </c>
      <c r="F10">
        <v>104</v>
      </c>
      <c r="G10">
        <v>51.999999999999993</v>
      </c>
      <c r="H10">
        <v>52.999999999999993</v>
      </c>
      <c r="I10">
        <v>98.999999999999972</v>
      </c>
      <c r="K10">
        <v>32.000000000000036</v>
      </c>
      <c r="L10">
        <v>89.000000000000057</v>
      </c>
      <c r="M10">
        <v>69.999999999999972</v>
      </c>
      <c r="N10">
        <v>50.999999999999986</v>
      </c>
      <c r="P10" s="147">
        <f t="shared" si="2"/>
        <v>0.25433878736438587</v>
      </c>
      <c r="Q10" s="147">
        <f t="shared" si="3"/>
        <v>-0.82432930314294828</v>
      </c>
      <c r="R10" s="147">
        <f t="shared" si="4"/>
        <v>-0.18826927557026435</v>
      </c>
      <c r="S10" s="147">
        <f t="shared" si="5"/>
        <v>0.22214706857381325</v>
      </c>
      <c r="T10" s="147">
        <f t="shared" si="6"/>
        <v>0.49756136039858229</v>
      </c>
      <c r="U10" s="147">
        <f t="shared" si="7"/>
        <v>-0.32946028165304125</v>
      </c>
      <c r="V10" s="147">
        <f t="shared" si="8"/>
        <v>-1.186930724717691</v>
      </c>
      <c r="W10" s="147">
        <f t="shared" si="9"/>
        <v>0.58395826877068935</v>
      </c>
      <c r="X10" s="147">
        <f t="shared" si="10"/>
        <v>-9.6727612808947132</v>
      </c>
      <c r="Y10" s="147">
        <f t="shared" si="11"/>
        <v>-1.3191862139093993</v>
      </c>
      <c r="Z10" s="147">
        <f t="shared" si="12"/>
        <v>-0.33857496496608064</v>
      </c>
      <c r="AA10" s="147">
        <f t="shared" si="13"/>
        <v>-1.6023558590531688</v>
      </c>
      <c r="AB10" s="147">
        <f t="shared" si="14"/>
        <v>-1.2289713980658392</v>
      </c>
      <c r="AC10" s="147">
        <f t="shared" si="15"/>
        <v>-16.12604955763155</v>
      </c>
      <c r="AD10" s="47">
        <f t="shared" si="16"/>
        <v>0.25433878736438587</v>
      </c>
      <c r="AE10" s="47">
        <f t="shared" si="17"/>
        <v>0.82432930314294828</v>
      </c>
      <c r="AF10" s="47">
        <f t="shared" si="18"/>
        <v>0.18826927557026435</v>
      </c>
      <c r="AG10" s="47">
        <f t="shared" si="19"/>
        <v>0.22214706857381325</v>
      </c>
      <c r="AH10" s="47">
        <f t="shared" si="20"/>
        <v>0.49756136039858229</v>
      </c>
      <c r="AI10" s="47">
        <f t="shared" si="21"/>
        <v>0.32946028165304125</v>
      </c>
      <c r="AJ10" s="47">
        <f t="shared" si="22"/>
        <v>1.186930724717691</v>
      </c>
      <c r="AK10" s="47">
        <f t="shared" si="23"/>
        <v>0.58395826877068935</v>
      </c>
      <c r="AL10" s="47">
        <f t="shared" si="24"/>
        <v>9.6727612808947132</v>
      </c>
      <c r="AM10" s="47">
        <f t="shared" si="25"/>
        <v>1.3191862139093993</v>
      </c>
      <c r="AN10" s="47">
        <f t="shared" si="26"/>
        <v>0.33857496496608064</v>
      </c>
      <c r="AO10" s="47">
        <f t="shared" si="27"/>
        <v>1.6023558590531688</v>
      </c>
      <c r="AP10" s="47">
        <f t="shared" si="28"/>
        <v>1.2289713980658392</v>
      </c>
      <c r="AQ10" s="47">
        <f t="shared" si="29"/>
        <v>16.12604955763155</v>
      </c>
    </row>
    <row r="11" spans="2:43">
      <c r="B11">
        <v>81.999999999999986</v>
      </c>
      <c r="C11">
        <v>97</v>
      </c>
      <c r="D11">
        <v>51.999999999999972</v>
      </c>
      <c r="E11">
        <v>25.00000000000481</v>
      </c>
      <c r="F11">
        <v>113.99999999999997</v>
      </c>
      <c r="G11">
        <v>71.000000000000014</v>
      </c>
      <c r="H11">
        <v>66.999999999999986</v>
      </c>
      <c r="I11">
        <v>76</v>
      </c>
      <c r="J11">
        <v>94.999999999999972</v>
      </c>
      <c r="K11">
        <v>56.000000000000057</v>
      </c>
      <c r="L11">
        <v>119.99999999999994</v>
      </c>
      <c r="M11">
        <v>105</v>
      </c>
      <c r="N11">
        <v>79.999999999999986</v>
      </c>
      <c r="O11">
        <v>97.000000000000014</v>
      </c>
      <c r="P11" s="147">
        <f t="shared" si="2"/>
        <v>-1.2716939368219318</v>
      </c>
      <c r="Q11" s="147">
        <f t="shared" si="3"/>
        <v>0.76937401626675028</v>
      </c>
      <c r="R11" s="147">
        <f t="shared" si="4"/>
        <v>-0.37653855114053048</v>
      </c>
      <c r="S11" s="147">
        <f t="shared" si="5"/>
        <v>-7.4049022857661254E-2</v>
      </c>
      <c r="T11" s="147">
        <f t="shared" si="6"/>
        <v>1.1195130608968085</v>
      </c>
      <c r="U11" s="147">
        <f t="shared" si="7"/>
        <v>1.2354760561988953</v>
      </c>
      <c r="V11" s="147">
        <f t="shared" si="8"/>
        <v>-0.26376238327059881</v>
      </c>
      <c r="W11" s="147">
        <f t="shared" si="9"/>
        <v>-0.75914574940189827</v>
      </c>
      <c r="X11" s="147">
        <f t="shared" si="10"/>
        <v>1.2666711201171617</v>
      </c>
      <c r="Y11" s="147">
        <f t="shared" si="11"/>
        <v>-5.2767448556375919E-2</v>
      </c>
      <c r="Z11" s="147">
        <f t="shared" si="12"/>
        <v>0.89622784843960002</v>
      </c>
      <c r="AA11" s="147">
        <f t="shared" si="13"/>
        <v>0.4747721063861236</v>
      </c>
      <c r="AB11" s="147">
        <f t="shared" si="14"/>
        <v>0.69752430701033974</v>
      </c>
      <c r="AC11" s="147">
        <f t="shared" si="15"/>
        <v>-0.48378148672894417</v>
      </c>
      <c r="AD11" s="47">
        <f t="shared" si="16"/>
        <v>1.2716939368219318</v>
      </c>
      <c r="AE11" s="47">
        <f t="shared" si="17"/>
        <v>0.76937401626675028</v>
      </c>
      <c r="AF11" s="47">
        <f t="shared" si="18"/>
        <v>0.37653855114053048</v>
      </c>
      <c r="AG11" s="47">
        <f t="shared" si="19"/>
        <v>7.4049022857661254E-2</v>
      </c>
      <c r="AH11" s="47">
        <f t="shared" si="20"/>
        <v>1.1195130608968085</v>
      </c>
      <c r="AI11" s="47">
        <f t="shared" si="21"/>
        <v>1.2354760561988953</v>
      </c>
      <c r="AJ11" s="47">
        <f t="shared" si="22"/>
        <v>0.26376238327059881</v>
      </c>
      <c r="AK11" s="47">
        <f t="shared" si="23"/>
        <v>0.75914574940189827</v>
      </c>
      <c r="AL11" s="47">
        <f t="shared" si="24"/>
        <v>1.2666711201171617</v>
      </c>
      <c r="AM11" s="47">
        <f t="shared" si="25"/>
        <v>5.2767448556375919E-2</v>
      </c>
      <c r="AN11" s="47">
        <f t="shared" si="26"/>
        <v>0.89622784843960002</v>
      </c>
      <c r="AO11" s="47">
        <f t="shared" si="27"/>
        <v>0.4747721063861236</v>
      </c>
      <c r="AP11" s="47">
        <f t="shared" si="28"/>
        <v>0.69752430701033974</v>
      </c>
      <c r="AQ11" s="47">
        <f t="shared" si="29"/>
        <v>0.48378148672894417</v>
      </c>
    </row>
    <row r="12" spans="2:43">
      <c r="B12">
        <v>86</v>
      </c>
      <c r="C12">
        <v>107.99999999999997</v>
      </c>
      <c r="D12">
        <v>40.999999999999986</v>
      </c>
      <c r="E12">
        <v>25.00000000000481</v>
      </c>
      <c r="F12">
        <v>54.999999999999972</v>
      </c>
      <c r="G12">
        <v>66.000000000000014</v>
      </c>
      <c r="H12">
        <v>82.999999999999972</v>
      </c>
      <c r="I12">
        <v>88.999999999999986</v>
      </c>
      <c r="J12">
        <v>71</v>
      </c>
      <c r="K12">
        <v>67.000000000000028</v>
      </c>
      <c r="L12">
        <v>94.999999999999972</v>
      </c>
      <c r="M12">
        <v>87.999999999999986</v>
      </c>
      <c r="N12">
        <v>63.999999999999993</v>
      </c>
      <c r="O12">
        <v>100</v>
      </c>
      <c r="P12" s="147">
        <f t="shared" si="2"/>
        <v>-0.59345717051690039</v>
      </c>
      <c r="Q12" s="147">
        <f t="shared" si="3"/>
        <v>1.3738821719049097</v>
      </c>
      <c r="R12" s="147">
        <f t="shared" si="4"/>
        <v>-1.0668592282315006</v>
      </c>
      <c r="S12" s="147">
        <f t="shared" si="5"/>
        <v>-7.4049022857661254E-2</v>
      </c>
      <c r="T12" s="147">
        <f t="shared" si="6"/>
        <v>-2.550001972042736</v>
      </c>
      <c r="U12" s="147">
        <f t="shared" si="7"/>
        <v>0.82365070413259667</v>
      </c>
      <c r="V12" s="147">
        <f t="shared" si="8"/>
        <v>0.79128714981179182</v>
      </c>
      <c r="W12" s="147">
        <f t="shared" si="9"/>
        <v>-8.2985461172411726E-16</v>
      </c>
      <c r="X12" s="147">
        <f t="shared" si="10"/>
        <v>-1.4969749601384676</v>
      </c>
      <c r="Y12" s="147">
        <f t="shared" si="11"/>
        <v>0.52767448556375773</v>
      </c>
      <c r="Z12" s="147">
        <f t="shared" si="12"/>
        <v>-9.9580872048854643E-2</v>
      </c>
      <c r="AA12" s="147">
        <f t="shared" si="13"/>
        <v>-0.53411861968438989</v>
      </c>
      <c r="AB12" s="147">
        <f t="shared" si="14"/>
        <v>-0.36536987510065511</v>
      </c>
      <c r="AC12" s="147">
        <f t="shared" si="15"/>
        <v>0</v>
      </c>
      <c r="AD12" s="47">
        <f t="shared" si="16"/>
        <v>0.59345717051690039</v>
      </c>
      <c r="AE12" s="47">
        <f t="shared" si="17"/>
        <v>1.3738821719049097</v>
      </c>
      <c r="AF12" s="47">
        <f t="shared" si="18"/>
        <v>1.0668592282315006</v>
      </c>
      <c r="AG12" s="47">
        <f t="shared" si="19"/>
        <v>7.4049022857661254E-2</v>
      </c>
      <c r="AH12" s="47">
        <f t="shared" si="20"/>
        <v>2.550001972042736</v>
      </c>
      <c r="AI12" s="47">
        <f t="shared" si="21"/>
        <v>0.82365070413259667</v>
      </c>
      <c r="AJ12" s="47">
        <f t="shared" si="22"/>
        <v>0.79128714981179182</v>
      </c>
      <c r="AK12" s="47">
        <f t="shared" si="23"/>
        <v>8.2985461172411726E-16</v>
      </c>
      <c r="AL12" s="47">
        <f t="shared" si="24"/>
        <v>1.4969749601384676</v>
      </c>
      <c r="AM12" s="47">
        <f t="shared" si="25"/>
        <v>0.52767448556375773</v>
      </c>
      <c r="AN12" s="47">
        <f t="shared" si="26"/>
        <v>9.9580872048854643E-2</v>
      </c>
      <c r="AO12" s="47">
        <f t="shared" si="27"/>
        <v>0.53411861968438989</v>
      </c>
      <c r="AP12" s="47">
        <f t="shared" si="28"/>
        <v>0.36536987510065511</v>
      </c>
      <c r="AQ12" s="47">
        <f t="shared" si="29"/>
        <v>0</v>
      </c>
    </row>
    <row r="13" spans="2:43">
      <c r="B13">
        <v>90.999999999999986</v>
      </c>
      <c r="C13">
        <v>82.999999999999972</v>
      </c>
      <c r="D13">
        <v>58.999999999999986</v>
      </c>
      <c r="E13">
        <v>19.999999999996799</v>
      </c>
      <c r="F13">
        <v>72</v>
      </c>
      <c r="G13">
        <v>50.000000000000014</v>
      </c>
      <c r="H13">
        <v>60.999999999999979</v>
      </c>
      <c r="I13">
        <v>99.999999999999986</v>
      </c>
      <c r="J13">
        <v>99.999999999999972</v>
      </c>
      <c r="K13">
        <v>74.000000000000043</v>
      </c>
      <c r="L13">
        <v>97.000000000000398</v>
      </c>
      <c r="M13">
        <v>95</v>
      </c>
      <c r="N13">
        <v>70</v>
      </c>
      <c r="O13">
        <v>90.000000000000014</v>
      </c>
      <c r="P13" s="147">
        <f t="shared" si="2"/>
        <v>0.25433878736438348</v>
      </c>
      <c r="Q13" s="147">
        <f t="shared" si="3"/>
        <v>-1.5619231952597502E-15</v>
      </c>
      <c r="R13" s="147">
        <f t="shared" si="4"/>
        <v>6.2756425190088269E-2</v>
      </c>
      <c r="S13" s="147">
        <f t="shared" si="5"/>
        <v>-0.44429413714833915</v>
      </c>
      <c r="T13" s="147">
        <f t="shared" si="6"/>
        <v>-1.4926840811957469</v>
      </c>
      <c r="U13" s="147">
        <f t="shared" si="7"/>
        <v>-0.49419042247955897</v>
      </c>
      <c r="V13" s="147">
        <f t="shared" si="8"/>
        <v>-0.65940595817649617</v>
      </c>
      <c r="W13" s="147">
        <f t="shared" si="9"/>
        <v>0.64235409564775925</v>
      </c>
      <c r="X13" s="147">
        <f t="shared" si="10"/>
        <v>1.8424307201704184</v>
      </c>
      <c r="Y13" s="147">
        <f t="shared" si="11"/>
        <v>0.89704662545838998</v>
      </c>
      <c r="Z13" s="147">
        <f t="shared" si="12"/>
        <v>-1.9916174409761192E-2</v>
      </c>
      <c r="AA13" s="147">
        <f t="shared" si="13"/>
        <v>-0.1186930265965309</v>
      </c>
      <c r="AB13" s="147">
        <f t="shared" si="14"/>
        <v>3.3215443190968606E-2</v>
      </c>
      <c r="AC13" s="147">
        <f t="shared" si="15"/>
        <v>-1.6126049557631525</v>
      </c>
      <c r="AD13" s="47">
        <f t="shared" si="16"/>
        <v>0.25433878736438348</v>
      </c>
      <c r="AE13" s="47">
        <f t="shared" si="17"/>
        <v>1.5619231952597502E-15</v>
      </c>
      <c r="AF13" s="47">
        <f t="shared" si="18"/>
        <v>6.2756425190088269E-2</v>
      </c>
      <c r="AG13" s="47">
        <f t="shared" si="19"/>
        <v>0.44429413714833915</v>
      </c>
      <c r="AH13" s="47">
        <f t="shared" si="20"/>
        <v>1.4926840811957469</v>
      </c>
      <c r="AI13" s="47">
        <f t="shared" si="21"/>
        <v>0.49419042247955897</v>
      </c>
      <c r="AJ13" s="47">
        <f t="shared" si="22"/>
        <v>0.65940595817649617</v>
      </c>
      <c r="AK13" s="47">
        <f t="shared" si="23"/>
        <v>0.64235409564775925</v>
      </c>
      <c r="AL13" s="47">
        <f t="shared" si="24"/>
        <v>1.8424307201704184</v>
      </c>
      <c r="AM13" s="47">
        <f t="shared" si="25"/>
        <v>0.89704662545838998</v>
      </c>
      <c r="AN13" s="47">
        <f t="shared" si="26"/>
        <v>1.9916174409761192E-2</v>
      </c>
      <c r="AO13" s="47">
        <f t="shared" si="27"/>
        <v>0.1186930265965309</v>
      </c>
      <c r="AP13" s="47">
        <f t="shared" si="28"/>
        <v>3.3215443190968606E-2</v>
      </c>
      <c r="AQ13" s="47">
        <f t="shared" si="29"/>
        <v>1.6126049557631525</v>
      </c>
    </row>
    <row r="14" spans="2:43">
      <c r="B14">
        <v>89.999999999999986</v>
      </c>
      <c r="C14">
        <v>91.999999999999986</v>
      </c>
      <c r="D14">
        <v>69.999999999999986</v>
      </c>
      <c r="E14">
        <v>27.00000000000481</v>
      </c>
      <c r="F14">
        <v>100.99999999999997</v>
      </c>
      <c r="G14">
        <v>59.000000000000014</v>
      </c>
      <c r="H14">
        <v>69.999999999999986</v>
      </c>
      <c r="I14">
        <v>75.999999999999972</v>
      </c>
      <c r="J14">
        <v>80.000000000000014</v>
      </c>
      <c r="K14">
        <v>55.000000000000043</v>
      </c>
      <c r="L14">
        <v>96.999999999999986</v>
      </c>
      <c r="M14">
        <v>72</v>
      </c>
      <c r="N14">
        <v>65</v>
      </c>
      <c r="O14">
        <v>104.00000000000001</v>
      </c>
      <c r="P14" s="147">
        <f t="shared" si="2"/>
        <v>8.4779595788126216E-2</v>
      </c>
      <c r="Q14" s="147">
        <f t="shared" si="3"/>
        <v>0.49459758188576725</v>
      </c>
      <c r="R14" s="147">
        <f t="shared" si="4"/>
        <v>0.75307710228105917</v>
      </c>
      <c r="S14" s="147">
        <f t="shared" si="5"/>
        <v>7.4049022858372615E-2</v>
      </c>
      <c r="T14" s="147">
        <f t="shared" si="6"/>
        <v>0.31097585024911217</v>
      </c>
      <c r="U14" s="147">
        <f t="shared" si="7"/>
        <v>0.24709521123977859</v>
      </c>
      <c r="V14" s="147">
        <f t="shared" si="8"/>
        <v>-6.594059581765041E-2</v>
      </c>
      <c r="W14" s="147">
        <f t="shared" si="9"/>
        <v>-0.75914574940189994</v>
      </c>
      <c r="X14" s="147">
        <f t="shared" si="10"/>
        <v>-0.46060768004260377</v>
      </c>
      <c r="Y14" s="147">
        <f t="shared" si="11"/>
        <v>-0.10553489711275259</v>
      </c>
      <c r="Z14" s="147">
        <f t="shared" si="12"/>
        <v>-1.9916174409777606E-2</v>
      </c>
      <c r="AA14" s="147">
        <f t="shared" si="13"/>
        <v>-1.4836628324566363</v>
      </c>
      <c r="AB14" s="147">
        <f t="shared" si="14"/>
        <v>-0.29893898871871744</v>
      </c>
      <c r="AC14" s="147">
        <f t="shared" si="15"/>
        <v>0.64504198230526422</v>
      </c>
      <c r="AD14" s="47">
        <f t="shared" si="16"/>
        <v>8.4779595788126216E-2</v>
      </c>
      <c r="AE14" s="47">
        <f t="shared" si="17"/>
        <v>0.49459758188576725</v>
      </c>
      <c r="AF14" s="47">
        <f t="shared" si="18"/>
        <v>0.75307710228105917</v>
      </c>
      <c r="AG14" s="47">
        <f t="shared" si="19"/>
        <v>7.4049022858372615E-2</v>
      </c>
      <c r="AH14" s="47">
        <f t="shared" si="20"/>
        <v>0.31097585024911217</v>
      </c>
      <c r="AI14" s="47">
        <f t="shared" si="21"/>
        <v>0.24709521123977859</v>
      </c>
      <c r="AJ14" s="47">
        <f t="shared" si="22"/>
        <v>6.594059581765041E-2</v>
      </c>
      <c r="AK14" s="47">
        <f t="shared" si="23"/>
        <v>0.75914574940189994</v>
      </c>
      <c r="AL14" s="47">
        <f t="shared" si="24"/>
        <v>0.46060768004260377</v>
      </c>
      <c r="AM14" s="47">
        <f t="shared" si="25"/>
        <v>0.10553489711275259</v>
      </c>
      <c r="AN14" s="47">
        <f t="shared" si="26"/>
        <v>1.9916174409777606E-2</v>
      </c>
      <c r="AO14" s="47">
        <f t="shared" si="27"/>
        <v>1.4836628324566363</v>
      </c>
      <c r="AP14" s="47">
        <f t="shared" si="28"/>
        <v>0.29893898871871744</v>
      </c>
      <c r="AQ14" s="47">
        <f t="shared" si="29"/>
        <v>0.64504198230526422</v>
      </c>
    </row>
    <row r="15" spans="2:43">
      <c r="B15">
        <v>109.99999999999999</v>
      </c>
      <c r="C15">
        <v>119</v>
      </c>
      <c r="D15">
        <v>80.999999999999943</v>
      </c>
      <c r="E15">
        <v>64.999999999996817</v>
      </c>
      <c r="F15">
        <v>107.99999999999997</v>
      </c>
      <c r="G15">
        <v>74</v>
      </c>
      <c r="H15">
        <v>98</v>
      </c>
      <c r="I15">
        <v>114.99999999999997</v>
      </c>
      <c r="J15">
        <v>95.999999999999972</v>
      </c>
      <c r="K15">
        <v>39.000000000000043</v>
      </c>
      <c r="L15">
        <v>85.999999999999531</v>
      </c>
      <c r="M15">
        <v>97.999999999999972</v>
      </c>
      <c r="N15">
        <v>86.000000000000014</v>
      </c>
      <c r="O15">
        <v>111</v>
      </c>
      <c r="P15" s="147">
        <f t="shared" si="2"/>
        <v>3.4759634273132716</v>
      </c>
      <c r="Q15" s="147">
        <f t="shared" si="3"/>
        <v>1.9783903275430721</v>
      </c>
      <c r="R15" s="147">
        <f t="shared" si="4"/>
        <v>1.4433977793720274</v>
      </c>
      <c r="S15" s="147">
        <f t="shared" si="5"/>
        <v>2.8879118914624242</v>
      </c>
      <c r="T15" s="147">
        <f t="shared" si="6"/>
        <v>0.74634204059787168</v>
      </c>
      <c r="U15" s="147">
        <f t="shared" si="7"/>
        <v>1.4825712674386733</v>
      </c>
      <c r="V15" s="147">
        <f t="shared" si="8"/>
        <v>1.7803960870765358</v>
      </c>
      <c r="W15" s="147">
        <f t="shared" si="9"/>
        <v>1.518291498803795</v>
      </c>
      <c r="X15" s="147">
        <f t="shared" si="10"/>
        <v>1.3818230401278131</v>
      </c>
      <c r="Y15" s="147">
        <f t="shared" si="11"/>
        <v>-0.94981407401476736</v>
      </c>
      <c r="Z15" s="147">
        <f t="shared" si="12"/>
        <v>-0.45807201142471626</v>
      </c>
      <c r="AA15" s="147">
        <f t="shared" si="13"/>
        <v>5.9346513298263764E-2</v>
      </c>
      <c r="AB15" s="147">
        <f t="shared" si="14"/>
        <v>1.0961096253019649</v>
      </c>
      <c r="AC15" s="147">
        <f t="shared" si="15"/>
        <v>1.7738654513394703</v>
      </c>
      <c r="AD15" s="47">
        <f t="shared" si="16"/>
        <v>3.4759634273132716</v>
      </c>
      <c r="AE15" s="47">
        <f t="shared" si="17"/>
        <v>1.9783903275430721</v>
      </c>
      <c r="AF15" s="47">
        <f t="shared" si="18"/>
        <v>1.4433977793720274</v>
      </c>
      <c r="AG15" s="47">
        <f t="shared" si="19"/>
        <v>2.8879118914624242</v>
      </c>
      <c r="AH15" s="47">
        <f t="shared" si="20"/>
        <v>0.74634204059787168</v>
      </c>
      <c r="AI15" s="47">
        <f t="shared" si="21"/>
        <v>1.4825712674386733</v>
      </c>
      <c r="AJ15" s="47">
        <f t="shared" si="22"/>
        <v>1.7803960870765358</v>
      </c>
      <c r="AK15" s="47">
        <f t="shared" si="23"/>
        <v>1.518291498803795</v>
      </c>
      <c r="AL15" s="47">
        <f t="shared" si="24"/>
        <v>1.3818230401278131</v>
      </c>
      <c r="AM15" s="47">
        <f t="shared" si="25"/>
        <v>0.94981407401476736</v>
      </c>
      <c r="AN15" s="47">
        <f t="shared" si="26"/>
        <v>0.45807201142471626</v>
      </c>
      <c r="AO15" s="47">
        <f t="shared" si="27"/>
        <v>5.9346513298263764E-2</v>
      </c>
      <c r="AP15" s="47">
        <f t="shared" si="28"/>
        <v>1.0961096253019649</v>
      </c>
      <c r="AQ15" s="47">
        <f t="shared" si="29"/>
        <v>1.7738654513394703</v>
      </c>
    </row>
    <row r="16" spans="2:43">
      <c r="B16">
        <v>92.999999999999986</v>
      </c>
      <c r="C16">
        <v>69</v>
      </c>
      <c r="D16">
        <v>55</v>
      </c>
      <c r="E16">
        <v>63.999999999995204</v>
      </c>
      <c r="F16">
        <v>58.000000000000007</v>
      </c>
      <c r="G16">
        <v>53.000000000000021</v>
      </c>
      <c r="H16">
        <v>54.000000000000007</v>
      </c>
      <c r="I16">
        <v>81.999999999999972</v>
      </c>
      <c r="J16">
        <v>82.999999999999972</v>
      </c>
      <c r="K16">
        <v>41.000000000000043</v>
      </c>
      <c r="L16">
        <v>24.999999999999552</v>
      </c>
      <c r="M16">
        <v>79</v>
      </c>
      <c r="N16">
        <v>63.000000000000014</v>
      </c>
      <c r="O16">
        <v>106</v>
      </c>
      <c r="P16" s="147">
        <f t="shared" si="2"/>
        <v>0.59345717051689795</v>
      </c>
      <c r="Q16" s="147">
        <f t="shared" si="3"/>
        <v>-0.76937401626675028</v>
      </c>
      <c r="R16" s="147">
        <f t="shared" si="4"/>
        <v>-0.18826927557026391</v>
      </c>
      <c r="S16" s="147">
        <f t="shared" si="5"/>
        <v>2.8138628686042879</v>
      </c>
      <c r="T16" s="147">
        <f t="shared" si="6"/>
        <v>-2.3634164618932654</v>
      </c>
      <c r="U16" s="147">
        <f t="shared" si="7"/>
        <v>-0.24709521123977918</v>
      </c>
      <c r="V16" s="147">
        <f t="shared" si="8"/>
        <v>-1.1209901289000406</v>
      </c>
      <c r="W16" s="147">
        <f t="shared" si="9"/>
        <v>-0.40877078813948536</v>
      </c>
      <c r="X16" s="147">
        <f t="shared" si="10"/>
        <v>-0.11515192001065462</v>
      </c>
      <c r="Y16" s="147">
        <f t="shared" si="11"/>
        <v>-0.84427917690201548</v>
      </c>
      <c r="Z16" s="147">
        <f t="shared" si="12"/>
        <v>-2.8878452894165481</v>
      </c>
      <c r="AA16" s="147">
        <f t="shared" si="13"/>
        <v>-1.068237239368778</v>
      </c>
      <c r="AB16" s="147">
        <f t="shared" si="14"/>
        <v>-0.43180076148259089</v>
      </c>
      <c r="AC16" s="147">
        <f t="shared" si="15"/>
        <v>0.96756297345789288</v>
      </c>
      <c r="AD16" s="47">
        <f t="shared" si="16"/>
        <v>0.59345717051689795</v>
      </c>
      <c r="AE16" s="47">
        <f t="shared" si="17"/>
        <v>0.76937401626675028</v>
      </c>
      <c r="AF16" s="47">
        <f t="shared" si="18"/>
        <v>0.18826927557026391</v>
      </c>
      <c r="AG16" s="47">
        <f t="shared" si="19"/>
        <v>2.8138628686042879</v>
      </c>
      <c r="AH16" s="47">
        <f t="shared" si="20"/>
        <v>2.3634164618932654</v>
      </c>
      <c r="AI16" s="47">
        <f t="shared" si="21"/>
        <v>0.24709521123977918</v>
      </c>
      <c r="AJ16" s="47">
        <f t="shared" si="22"/>
        <v>1.1209901289000406</v>
      </c>
      <c r="AK16" s="47">
        <f t="shared" si="23"/>
        <v>0.40877078813948536</v>
      </c>
      <c r="AL16" s="47">
        <f t="shared" si="24"/>
        <v>0.11515192001065462</v>
      </c>
      <c r="AM16" s="47">
        <f t="shared" si="25"/>
        <v>0.84427917690201548</v>
      </c>
      <c r="AN16" s="47">
        <f t="shared" si="26"/>
        <v>2.8878452894165481</v>
      </c>
      <c r="AO16" s="47">
        <f t="shared" si="27"/>
        <v>1.068237239368778</v>
      </c>
      <c r="AP16" s="47">
        <f t="shared" si="28"/>
        <v>0.43180076148259089</v>
      </c>
      <c r="AQ16" s="47">
        <f t="shared" si="29"/>
        <v>0.96756297345789288</v>
      </c>
    </row>
    <row r="17" spans="2:43">
      <c r="B17">
        <v>92.999999999999972</v>
      </c>
      <c r="C17">
        <v>82.999999999999986</v>
      </c>
      <c r="D17">
        <v>39.000000000000014</v>
      </c>
      <c r="E17">
        <v>40.999999999993562</v>
      </c>
      <c r="F17">
        <v>88</v>
      </c>
      <c r="G17">
        <v>64</v>
      </c>
      <c r="H17">
        <v>75.999999999999972</v>
      </c>
      <c r="I17">
        <v>40.999999999999986</v>
      </c>
      <c r="J17">
        <v>67.999999999999972</v>
      </c>
      <c r="K17">
        <v>26.00000000000005</v>
      </c>
      <c r="L17">
        <v>121.00000000000001</v>
      </c>
      <c r="M17">
        <v>84.999999999999972</v>
      </c>
      <c r="N17">
        <v>67.999999999999972</v>
      </c>
      <c r="O17">
        <v>107.00000000000001</v>
      </c>
      <c r="P17" s="147">
        <f t="shared" si="2"/>
        <v>0.59345717051689562</v>
      </c>
      <c r="Q17" s="147">
        <f t="shared" si="3"/>
        <v>-7.8096159762987508E-16</v>
      </c>
      <c r="R17" s="147">
        <f t="shared" si="4"/>
        <v>-1.1923720786116754</v>
      </c>
      <c r="S17" s="147">
        <f t="shared" si="5"/>
        <v>1.1107353428697768</v>
      </c>
      <c r="T17" s="147">
        <f t="shared" si="6"/>
        <v>-0.49756136039858229</v>
      </c>
      <c r="U17" s="147">
        <f t="shared" si="7"/>
        <v>0.65892056330607607</v>
      </c>
      <c r="V17" s="147">
        <f t="shared" si="8"/>
        <v>0.32970297908824547</v>
      </c>
      <c r="W17" s="147">
        <f t="shared" si="9"/>
        <v>-2.8029996900993175</v>
      </c>
      <c r="X17" s="147">
        <f t="shared" si="10"/>
        <v>-1.8424307201704249</v>
      </c>
      <c r="Y17" s="147">
        <f t="shared" si="11"/>
        <v>-1.635790905247654</v>
      </c>
      <c r="Z17" s="147">
        <f t="shared" si="12"/>
        <v>0.93606019725914114</v>
      </c>
      <c r="AA17" s="147">
        <f t="shared" si="13"/>
        <v>-0.71215815957918704</v>
      </c>
      <c r="AB17" s="147">
        <f t="shared" si="14"/>
        <v>-9.9646329572907699E-2</v>
      </c>
      <c r="AC17" s="147">
        <f t="shared" si="15"/>
        <v>1.1288234690342107</v>
      </c>
      <c r="AD17" s="47">
        <f t="shared" si="16"/>
        <v>0.59345717051689562</v>
      </c>
      <c r="AE17" s="47">
        <f t="shared" si="17"/>
        <v>7.8096159762987508E-16</v>
      </c>
      <c r="AF17" s="47">
        <f t="shared" si="18"/>
        <v>1.1923720786116754</v>
      </c>
      <c r="AG17" s="47">
        <f t="shared" si="19"/>
        <v>1.1107353428697768</v>
      </c>
      <c r="AH17" s="47">
        <f t="shared" si="20"/>
        <v>0.49756136039858229</v>
      </c>
      <c r="AI17" s="47">
        <f t="shared" si="21"/>
        <v>0.65892056330607607</v>
      </c>
      <c r="AJ17" s="47">
        <f t="shared" si="22"/>
        <v>0.32970297908824547</v>
      </c>
      <c r="AK17" s="47">
        <f t="shared" si="23"/>
        <v>2.8029996900993175</v>
      </c>
      <c r="AL17" s="47">
        <f t="shared" si="24"/>
        <v>1.8424307201704249</v>
      </c>
      <c r="AM17" s="47">
        <f t="shared" si="25"/>
        <v>1.635790905247654</v>
      </c>
      <c r="AN17" s="47">
        <f t="shared" si="26"/>
        <v>0.93606019725914114</v>
      </c>
      <c r="AO17" s="47">
        <f t="shared" si="27"/>
        <v>0.71215815957918704</v>
      </c>
      <c r="AP17" s="47">
        <f t="shared" si="28"/>
        <v>9.9646329572907699E-2</v>
      </c>
      <c r="AQ17" s="47">
        <f t="shared" si="29"/>
        <v>1.1288234690342107</v>
      </c>
    </row>
    <row r="18" spans="2:43">
      <c r="B18">
        <v>90.999999999999972</v>
      </c>
      <c r="C18">
        <v>106</v>
      </c>
      <c r="D18">
        <v>52</v>
      </c>
      <c r="E18">
        <v>52.000000000001606</v>
      </c>
      <c r="F18">
        <v>94</v>
      </c>
      <c r="G18">
        <v>83</v>
      </c>
      <c r="H18">
        <v>72</v>
      </c>
      <c r="I18">
        <v>65.999999999999972</v>
      </c>
      <c r="J18">
        <v>86.000000000000014</v>
      </c>
      <c r="K18">
        <v>61.00000000000005</v>
      </c>
      <c r="L18">
        <v>112.99999999999999</v>
      </c>
      <c r="M18">
        <v>97</v>
      </c>
      <c r="N18">
        <v>51</v>
      </c>
      <c r="O18">
        <v>107.00000000000001</v>
      </c>
      <c r="P18" s="147">
        <f t="shared" si="2"/>
        <v>0.25433878736438109</v>
      </c>
      <c r="Q18" s="147">
        <f t="shared" si="3"/>
        <v>1.2639715981525184</v>
      </c>
      <c r="R18" s="147">
        <f t="shared" si="4"/>
        <v>-0.3765385511405287</v>
      </c>
      <c r="S18" s="147">
        <f t="shared" si="5"/>
        <v>1.9252745943085587</v>
      </c>
      <c r="T18" s="147">
        <f t="shared" si="6"/>
        <v>-0.12439034009964557</v>
      </c>
      <c r="U18" s="147">
        <f t="shared" si="7"/>
        <v>2.2238569011580109</v>
      </c>
      <c r="V18" s="147">
        <f t="shared" si="8"/>
        <v>6.5940595817649481E-2</v>
      </c>
      <c r="W18" s="147">
        <f t="shared" si="9"/>
        <v>-1.3431040181725908</v>
      </c>
      <c r="X18" s="147">
        <f t="shared" si="10"/>
        <v>0.23030384002130436</v>
      </c>
      <c r="Y18" s="147">
        <f t="shared" si="11"/>
        <v>0.21106979422550332</v>
      </c>
      <c r="Z18" s="147">
        <f t="shared" si="12"/>
        <v>0.61740140670283417</v>
      </c>
      <c r="AA18" s="147">
        <f t="shared" si="13"/>
        <v>0</v>
      </c>
      <c r="AB18" s="147">
        <f t="shared" si="14"/>
        <v>-1.2289713980658383</v>
      </c>
      <c r="AC18" s="147">
        <f t="shared" si="15"/>
        <v>1.1288234690342107</v>
      </c>
      <c r="AD18" s="47">
        <f t="shared" si="16"/>
        <v>0.25433878736438109</v>
      </c>
      <c r="AE18" s="47">
        <f t="shared" si="17"/>
        <v>1.2639715981525184</v>
      </c>
      <c r="AF18" s="47">
        <f t="shared" si="18"/>
        <v>0.3765385511405287</v>
      </c>
      <c r="AG18" s="47">
        <f t="shared" si="19"/>
        <v>1.9252745943085587</v>
      </c>
      <c r="AH18" s="47">
        <f t="shared" si="20"/>
        <v>0.12439034009964557</v>
      </c>
      <c r="AI18" s="47">
        <f t="shared" si="21"/>
        <v>2.2238569011580109</v>
      </c>
      <c r="AJ18" s="47">
        <f t="shared" si="22"/>
        <v>6.5940595817649481E-2</v>
      </c>
      <c r="AK18" s="47">
        <f t="shared" si="23"/>
        <v>1.3431040181725908</v>
      </c>
      <c r="AL18" s="47">
        <f t="shared" si="24"/>
        <v>0.23030384002130436</v>
      </c>
      <c r="AM18" s="47">
        <f t="shared" si="25"/>
        <v>0.21106979422550332</v>
      </c>
      <c r="AN18" s="47">
        <f t="shared" si="26"/>
        <v>0.61740140670283417</v>
      </c>
      <c r="AO18" s="47">
        <f t="shared" si="27"/>
        <v>0</v>
      </c>
      <c r="AP18" s="47">
        <f t="shared" si="28"/>
        <v>1.2289713980658383</v>
      </c>
      <c r="AQ18" s="47">
        <f t="shared" si="29"/>
        <v>1.1288234690342107</v>
      </c>
    </row>
    <row r="19" spans="2:43">
      <c r="B19">
        <v>88</v>
      </c>
      <c r="C19">
        <v>76.999999999999972</v>
      </c>
      <c r="D19">
        <v>66.999999999999986</v>
      </c>
      <c r="E19">
        <v>24.00000000000481</v>
      </c>
      <c r="F19">
        <v>105.99999999999999</v>
      </c>
      <c r="G19">
        <v>76.000000000000028</v>
      </c>
      <c r="H19">
        <v>74.999999999999972</v>
      </c>
      <c r="I19">
        <v>97.999999999999986</v>
      </c>
      <c r="J19">
        <v>95.999999999999986</v>
      </c>
      <c r="K19">
        <v>69.000000000000057</v>
      </c>
      <c r="L19">
        <v>103</v>
      </c>
      <c r="M19">
        <v>98</v>
      </c>
      <c r="N19">
        <v>80.999999999999972</v>
      </c>
      <c r="O19">
        <v>110</v>
      </c>
      <c r="P19" s="147">
        <f t="shared" si="2"/>
        <v>-0.25433878736438587</v>
      </c>
      <c r="Q19" s="147">
        <f t="shared" si="3"/>
        <v>-0.32973172125718025</v>
      </c>
      <c r="R19" s="147">
        <f t="shared" si="4"/>
        <v>0.56480782671079444</v>
      </c>
      <c r="S19" s="147">
        <f t="shared" si="5"/>
        <v>-0.14809804571567819</v>
      </c>
      <c r="T19" s="147">
        <f t="shared" si="6"/>
        <v>0.62195170049822701</v>
      </c>
      <c r="U19" s="147">
        <f t="shared" si="7"/>
        <v>1.6473014082651951</v>
      </c>
      <c r="V19" s="147">
        <f t="shared" si="8"/>
        <v>0.26376238327059603</v>
      </c>
      <c r="W19" s="147">
        <f t="shared" si="9"/>
        <v>0.525562441893621</v>
      </c>
      <c r="X19" s="147">
        <f t="shared" si="10"/>
        <v>1.3818230401278147</v>
      </c>
      <c r="Y19" s="147">
        <f t="shared" si="11"/>
        <v>0.63320938267651106</v>
      </c>
      <c r="Z19" s="147">
        <f t="shared" si="12"/>
        <v>0.21907791850745237</v>
      </c>
      <c r="AA19" s="147">
        <f t="shared" si="13"/>
        <v>5.9346513298265451E-2</v>
      </c>
      <c r="AB19" s="147">
        <f t="shared" si="14"/>
        <v>0.76395519339227602</v>
      </c>
      <c r="AC19" s="147">
        <f t="shared" si="15"/>
        <v>1.6126049557631548</v>
      </c>
      <c r="AD19" s="47">
        <f t="shared" si="16"/>
        <v>0.25433878736438587</v>
      </c>
      <c r="AE19" s="47">
        <f t="shared" si="17"/>
        <v>0.32973172125718025</v>
      </c>
      <c r="AF19" s="47">
        <f t="shared" si="18"/>
        <v>0.56480782671079444</v>
      </c>
      <c r="AG19" s="47">
        <f t="shared" si="19"/>
        <v>0.14809804571567819</v>
      </c>
      <c r="AH19" s="47">
        <f t="shared" si="20"/>
        <v>0.62195170049822701</v>
      </c>
      <c r="AI19" s="47">
        <f t="shared" si="21"/>
        <v>1.6473014082651951</v>
      </c>
      <c r="AJ19" s="47">
        <f t="shared" si="22"/>
        <v>0.26376238327059603</v>
      </c>
      <c r="AK19" s="47">
        <f t="shared" si="23"/>
        <v>0.525562441893621</v>
      </c>
      <c r="AL19" s="47">
        <f t="shared" si="24"/>
        <v>1.3818230401278147</v>
      </c>
      <c r="AM19" s="47">
        <f t="shared" si="25"/>
        <v>0.63320938267651106</v>
      </c>
      <c r="AN19" s="47">
        <f t="shared" si="26"/>
        <v>0.21907791850745237</v>
      </c>
      <c r="AO19" s="47">
        <f t="shared" si="27"/>
        <v>5.9346513298265451E-2</v>
      </c>
      <c r="AP19" s="47">
        <f t="shared" si="28"/>
        <v>0.76395519339227602</v>
      </c>
      <c r="AQ19" s="47">
        <f t="shared" si="29"/>
        <v>1.6126049557631548</v>
      </c>
    </row>
    <row r="20" spans="2:43">
      <c r="B20">
        <v>76</v>
      </c>
      <c r="C20">
        <v>76.999999999999972</v>
      </c>
      <c r="D20">
        <v>31.999999999999972</v>
      </c>
      <c r="E20">
        <v>2.0000000000063975</v>
      </c>
      <c r="F20">
        <v>81</v>
      </c>
      <c r="G20">
        <v>60</v>
      </c>
      <c r="H20">
        <v>66.999999999999972</v>
      </c>
      <c r="I20">
        <v>80.999999999999986</v>
      </c>
      <c r="J20">
        <v>80.999999999999972</v>
      </c>
      <c r="K20">
        <v>58.00000000000005</v>
      </c>
      <c r="L20">
        <v>87.999999999999986</v>
      </c>
      <c r="M20">
        <v>67.999999999999986</v>
      </c>
      <c r="N20">
        <v>38.999999999999972</v>
      </c>
      <c r="O20">
        <v>108.00000000000001</v>
      </c>
      <c r="P20" s="147">
        <f t="shared" si="2"/>
        <v>-2.2890490862794728</v>
      </c>
      <c r="Q20" s="147">
        <f t="shared" si="3"/>
        <v>-0.32973172125718025</v>
      </c>
      <c r="R20" s="147">
        <f t="shared" si="4"/>
        <v>-1.6316670549422958</v>
      </c>
      <c r="S20" s="147">
        <f t="shared" si="5"/>
        <v>-1.7771765485919333</v>
      </c>
      <c r="T20" s="147">
        <f t="shared" si="6"/>
        <v>-0.93292755074734179</v>
      </c>
      <c r="U20" s="147">
        <f t="shared" si="7"/>
        <v>0.32946028165303715</v>
      </c>
      <c r="V20" s="147">
        <f t="shared" si="8"/>
        <v>-0.26376238327059975</v>
      </c>
      <c r="W20" s="147">
        <f t="shared" si="9"/>
        <v>-0.4671666150165536</v>
      </c>
      <c r="X20" s="147">
        <f t="shared" si="10"/>
        <v>-0.34545576003195733</v>
      </c>
      <c r="Y20" s="147">
        <f t="shared" si="11"/>
        <v>5.2767448556375544E-2</v>
      </c>
      <c r="Z20" s="147">
        <f t="shared" si="12"/>
        <v>-0.3784073137856217</v>
      </c>
      <c r="AA20" s="147">
        <f t="shared" si="13"/>
        <v>-1.7210488856496988</v>
      </c>
      <c r="AB20" s="147">
        <f t="shared" si="14"/>
        <v>-2.0261420346490868</v>
      </c>
      <c r="AC20" s="147">
        <f t="shared" si="15"/>
        <v>1.2900839646105262</v>
      </c>
      <c r="AD20" s="47">
        <f t="shared" si="16"/>
        <v>2.2890490862794728</v>
      </c>
      <c r="AE20" s="47">
        <f t="shared" si="17"/>
        <v>0.32973172125718025</v>
      </c>
      <c r="AF20" s="47">
        <f t="shared" si="18"/>
        <v>1.6316670549422958</v>
      </c>
      <c r="AG20" s="47">
        <f t="shared" si="19"/>
        <v>1.7771765485919333</v>
      </c>
      <c r="AH20" s="47">
        <f t="shared" si="20"/>
        <v>0.93292755074734179</v>
      </c>
      <c r="AI20" s="47">
        <f t="shared" si="21"/>
        <v>0.32946028165303715</v>
      </c>
      <c r="AJ20" s="47">
        <f t="shared" si="22"/>
        <v>0.26376238327059975</v>
      </c>
      <c r="AK20" s="47">
        <f t="shared" si="23"/>
        <v>0.4671666150165536</v>
      </c>
      <c r="AL20" s="47">
        <f t="shared" si="24"/>
        <v>0.34545576003195733</v>
      </c>
      <c r="AM20" s="47">
        <f t="shared" si="25"/>
        <v>5.2767448556375544E-2</v>
      </c>
      <c r="AN20" s="47">
        <f t="shared" si="26"/>
        <v>0.3784073137856217</v>
      </c>
      <c r="AO20" s="47">
        <f t="shared" si="27"/>
        <v>1.7210488856496988</v>
      </c>
      <c r="AP20" s="47">
        <f t="shared" si="28"/>
        <v>2.0261420346490868</v>
      </c>
      <c r="AQ20" s="47">
        <f t="shared" si="29"/>
        <v>1.2900839646105262</v>
      </c>
    </row>
    <row r="21" spans="2:43">
      <c r="B21">
        <v>90.999999999999986</v>
      </c>
      <c r="C21">
        <v>70</v>
      </c>
      <c r="D21">
        <v>64.000000000000014</v>
      </c>
      <c r="E21">
        <v>24.999999999996799</v>
      </c>
      <c r="F21">
        <v>82.999999999999972</v>
      </c>
      <c r="G21">
        <v>41.999999999999993</v>
      </c>
      <c r="H21">
        <v>48.999999999999986</v>
      </c>
      <c r="I21">
        <v>89</v>
      </c>
      <c r="J21">
        <v>84</v>
      </c>
      <c r="K21">
        <v>66.000000000000043</v>
      </c>
      <c r="L21">
        <v>74.999999999999986</v>
      </c>
      <c r="M21">
        <v>98.999999999999986</v>
      </c>
      <c r="N21">
        <v>89</v>
      </c>
      <c r="O21">
        <v>98.000000000000014</v>
      </c>
      <c r="P21" s="147">
        <f t="shared" si="2"/>
        <v>0.25433878736438348</v>
      </c>
      <c r="Q21" s="147">
        <f t="shared" si="3"/>
        <v>-0.71441872939055384</v>
      </c>
      <c r="R21" s="147">
        <f t="shared" si="4"/>
        <v>0.37653855114053136</v>
      </c>
      <c r="S21" s="147">
        <f t="shared" si="5"/>
        <v>-7.4049022858254487E-2</v>
      </c>
      <c r="T21" s="147">
        <f t="shared" si="6"/>
        <v>-0.80853721064769801</v>
      </c>
      <c r="U21" s="147">
        <f t="shared" si="7"/>
        <v>-1.1531109857856385</v>
      </c>
      <c r="V21" s="147">
        <f t="shared" si="8"/>
        <v>-1.4506931079882894</v>
      </c>
      <c r="W21" s="147">
        <f t="shared" si="9"/>
        <v>0</v>
      </c>
      <c r="X21" s="147">
        <f t="shared" si="10"/>
        <v>0</v>
      </c>
      <c r="Y21" s="147">
        <f t="shared" si="11"/>
        <v>0.47490703700738257</v>
      </c>
      <c r="Z21" s="147">
        <f t="shared" si="12"/>
        <v>-0.89622784843961878</v>
      </c>
      <c r="AA21" s="147">
        <f t="shared" si="13"/>
        <v>0.11869302659653005</v>
      </c>
      <c r="AB21" s="147">
        <f t="shared" si="14"/>
        <v>1.2954022844477755</v>
      </c>
      <c r="AC21" s="147">
        <f t="shared" si="15"/>
        <v>-0.32252099115262867</v>
      </c>
      <c r="AD21" s="47">
        <f t="shared" si="16"/>
        <v>0.25433878736438348</v>
      </c>
      <c r="AE21" s="47">
        <f t="shared" si="17"/>
        <v>0.71441872939055384</v>
      </c>
      <c r="AF21" s="47">
        <f t="shared" si="18"/>
        <v>0.37653855114053136</v>
      </c>
      <c r="AG21" s="47">
        <f t="shared" si="19"/>
        <v>7.4049022858254487E-2</v>
      </c>
      <c r="AH21" s="47">
        <f t="shared" si="20"/>
        <v>0.80853721064769801</v>
      </c>
      <c r="AI21" s="47">
        <f t="shared" si="21"/>
        <v>1.1531109857856385</v>
      </c>
      <c r="AJ21" s="47">
        <f t="shared" si="22"/>
        <v>1.4506931079882894</v>
      </c>
      <c r="AK21" s="47">
        <f t="shared" si="23"/>
        <v>0</v>
      </c>
      <c r="AL21" s="47">
        <f t="shared" si="24"/>
        <v>0</v>
      </c>
      <c r="AM21" s="47">
        <f t="shared" si="25"/>
        <v>0.47490703700738257</v>
      </c>
      <c r="AN21" s="47">
        <f t="shared" si="26"/>
        <v>0.89622784843961878</v>
      </c>
      <c r="AO21" s="47">
        <f t="shared" si="27"/>
        <v>0.11869302659653005</v>
      </c>
      <c r="AP21" s="47">
        <f t="shared" si="28"/>
        <v>1.2954022844477755</v>
      </c>
      <c r="AQ21" s="47">
        <f t="shared" si="29"/>
        <v>0.32252099115262867</v>
      </c>
    </row>
    <row r="22" spans="2:43">
      <c r="B22">
        <v>78.999999999999986</v>
      </c>
      <c r="C22">
        <v>115.99999999999997</v>
      </c>
      <c r="D22">
        <v>51.999999999999964</v>
      </c>
      <c r="E22">
        <v>18.000000000006413</v>
      </c>
      <c r="F22">
        <v>102.99999999999999</v>
      </c>
      <c r="G22">
        <v>46.999999999999993</v>
      </c>
      <c r="H22">
        <v>79.999999999999986</v>
      </c>
      <c r="I22">
        <v>83.999999999999972</v>
      </c>
      <c r="J22">
        <v>77.999999999999972</v>
      </c>
      <c r="K22">
        <v>70.000000000000043</v>
      </c>
      <c r="L22">
        <v>107</v>
      </c>
      <c r="M22">
        <v>108.99999999999999</v>
      </c>
      <c r="N22">
        <v>85</v>
      </c>
      <c r="O22">
        <v>99.000000000000014</v>
      </c>
      <c r="P22" s="147">
        <f t="shared" si="2"/>
        <v>-1.7803715115507035</v>
      </c>
      <c r="Q22" s="147">
        <f t="shared" si="3"/>
        <v>1.8135244669144812</v>
      </c>
      <c r="R22" s="147">
        <f t="shared" si="4"/>
        <v>-0.37653855114053092</v>
      </c>
      <c r="S22" s="147">
        <f t="shared" si="5"/>
        <v>-0.59239218286366113</v>
      </c>
      <c r="T22" s="147">
        <f t="shared" si="6"/>
        <v>0.43536619034875862</v>
      </c>
      <c r="U22" s="147">
        <f t="shared" si="7"/>
        <v>-0.74128563371933986</v>
      </c>
      <c r="V22" s="147">
        <f t="shared" si="8"/>
        <v>0.59346536235884428</v>
      </c>
      <c r="W22" s="147">
        <f t="shared" si="9"/>
        <v>-0.29197913438534717</v>
      </c>
      <c r="X22" s="147">
        <f t="shared" si="10"/>
        <v>-0.69091152006391143</v>
      </c>
      <c r="Y22" s="147">
        <f t="shared" si="11"/>
        <v>0.68597683123288622</v>
      </c>
      <c r="Z22" s="147">
        <f t="shared" si="12"/>
        <v>0.37840731378560527</v>
      </c>
      <c r="AA22" s="147">
        <f t="shared" si="13"/>
        <v>0.7121581595791846</v>
      </c>
      <c r="AB22" s="147">
        <f t="shared" si="14"/>
        <v>1.0296787389200266</v>
      </c>
      <c r="AC22" s="147">
        <f t="shared" si="15"/>
        <v>-0.1612604955763132</v>
      </c>
      <c r="AD22" s="47">
        <f t="shared" si="16"/>
        <v>1.7803715115507035</v>
      </c>
      <c r="AE22" s="47">
        <f t="shared" si="17"/>
        <v>1.8135244669144812</v>
      </c>
      <c r="AF22" s="47">
        <f t="shared" si="18"/>
        <v>0.37653855114053092</v>
      </c>
      <c r="AG22" s="47">
        <f t="shared" si="19"/>
        <v>0.59239218286366113</v>
      </c>
      <c r="AH22" s="47">
        <f t="shared" si="20"/>
        <v>0.43536619034875862</v>
      </c>
      <c r="AI22" s="47">
        <f t="shared" si="21"/>
        <v>0.74128563371933986</v>
      </c>
      <c r="AJ22" s="47">
        <f t="shared" si="22"/>
        <v>0.59346536235884428</v>
      </c>
      <c r="AK22" s="47">
        <f t="shared" si="23"/>
        <v>0.29197913438534717</v>
      </c>
      <c r="AL22" s="47">
        <f t="shared" si="24"/>
        <v>0.69091152006391143</v>
      </c>
      <c r="AM22" s="47">
        <f t="shared" si="25"/>
        <v>0.68597683123288622</v>
      </c>
      <c r="AN22" s="47">
        <f t="shared" si="26"/>
        <v>0.37840731378560527</v>
      </c>
      <c r="AO22" s="47">
        <f t="shared" si="27"/>
        <v>0.7121581595791846</v>
      </c>
      <c r="AP22" s="47">
        <f t="shared" si="28"/>
        <v>1.0296787389200266</v>
      </c>
      <c r="AQ22" s="47">
        <f t="shared" si="29"/>
        <v>0.1612604955763132</v>
      </c>
    </row>
    <row r="23" spans="2:43">
      <c r="B23">
        <v>88.999999999999986</v>
      </c>
      <c r="C23">
        <v>74.999999999999986</v>
      </c>
      <c r="D23">
        <v>26.999999999999979</v>
      </c>
      <c r="E23">
        <v>21.00000000000481</v>
      </c>
      <c r="F23">
        <v>114</v>
      </c>
      <c r="G23">
        <v>56.000000000000014</v>
      </c>
      <c r="H23">
        <v>28.999999999999993</v>
      </c>
      <c r="I23">
        <v>77.999999999999986</v>
      </c>
      <c r="J23">
        <v>82.999999999999986</v>
      </c>
      <c r="K23">
        <v>50.00000000000005</v>
      </c>
      <c r="L23">
        <v>122</v>
      </c>
      <c r="M23">
        <v>98.999999999999972</v>
      </c>
      <c r="N23">
        <v>61.99999999999995</v>
      </c>
      <c r="O23">
        <v>106</v>
      </c>
      <c r="P23" s="147">
        <f t="shared" si="2"/>
        <v>-8.4779595788131032E-2</v>
      </c>
      <c r="Q23" s="147">
        <f t="shared" si="3"/>
        <v>-0.43964229500957236</v>
      </c>
      <c r="R23" s="147">
        <f t="shared" si="4"/>
        <v>-1.9454491808927368</v>
      </c>
      <c r="S23" s="147">
        <f t="shared" si="5"/>
        <v>-0.370245114289729</v>
      </c>
      <c r="T23" s="147">
        <f t="shared" si="6"/>
        <v>1.1195130608968102</v>
      </c>
      <c r="U23" s="147">
        <f t="shared" si="7"/>
        <v>-5.8523902462510855E-16</v>
      </c>
      <c r="V23" s="147">
        <f t="shared" si="8"/>
        <v>-2.7695050243412784</v>
      </c>
      <c r="W23" s="147">
        <f t="shared" si="9"/>
        <v>-0.64235409564776091</v>
      </c>
      <c r="X23" s="147">
        <f t="shared" si="10"/>
        <v>-0.115151920010653</v>
      </c>
      <c r="Y23" s="147">
        <f t="shared" si="11"/>
        <v>-0.36937213989463186</v>
      </c>
      <c r="Z23" s="147">
        <f t="shared" si="12"/>
        <v>0.97589254607867881</v>
      </c>
      <c r="AA23" s="147">
        <f t="shared" si="13"/>
        <v>0.11869302659652921</v>
      </c>
      <c r="AB23" s="147">
        <f t="shared" si="14"/>
        <v>-0.49823164786453233</v>
      </c>
      <c r="AC23" s="147">
        <f t="shared" si="15"/>
        <v>0.96756297345789288</v>
      </c>
      <c r="AD23" s="47">
        <f t="shared" si="16"/>
        <v>8.4779595788131032E-2</v>
      </c>
      <c r="AE23" s="47">
        <f t="shared" si="17"/>
        <v>0.43964229500957236</v>
      </c>
      <c r="AF23" s="47">
        <f t="shared" si="18"/>
        <v>1.9454491808927368</v>
      </c>
      <c r="AG23" s="47">
        <f t="shared" si="19"/>
        <v>0.370245114289729</v>
      </c>
      <c r="AH23" s="47">
        <f t="shared" si="20"/>
        <v>1.1195130608968102</v>
      </c>
      <c r="AI23" s="47">
        <f t="shared" si="21"/>
        <v>5.8523902462510855E-16</v>
      </c>
      <c r="AJ23" s="47">
        <f t="shared" si="22"/>
        <v>2.7695050243412784</v>
      </c>
      <c r="AK23" s="47">
        <f t="shared" si="23"/>
        <v>0.64235409564776091</v>
      </c>
      <c r="AL23" s="47">
        <f t="shared" si="24"/>
        <v>0.115151920010653</v>
      </c>
      <c r="AM23" s="47">
        <f t="shared" si="25"/>
        <v>0.36937213989463186</v>
      </c>
      <c r="AN23" s="47">
        <f t="shared" si="26"/>
        <v>0.97589254607867881</v>
      </c>
      <c r="AO23" s="47">
        <f t="shared" si="27"/>
        <v>0.11869302659652921</v>
      </c>
      <c r="AP23" s="47">
        <f t="shared" si="28"/>
        <v>0.49823164786453233</v>
      </c>
      <c r="AQ23" s="47">
        <f t="shared" si="29"/>
        <v>0.96756297345789288</v>
      </c>
    </row>
    <row r="24" spans="2:43">
      <c r="B24">
        <v>91.999999999999986</v>
      </c>
      <c r="C24">
        <v>57</v>
      </c>
      <c r="D24">
        <v>63.999999999999993</v>
      </c>
      <c r="E24">
        <v>30.999999999996799</v>
      </c>
      <c r="F24">
        <v>120.99999999999997</v>
      </c>
      <c r="G24">
        <v>55.000000000000021</v>
      </c>
      <c r="H24">
        <v>63.999999999999972</v>
      </c>
      <c r="I24">
        <v>99.999999999999972</v>
      </c>
      <c r="J24">
        <v>86</v>
      </c>
      <c r="K24">
        <v>42.000000000000043</v>
      </c>
      <c r="L24">
        <v>121.99999999999997</v>
      </c>
      <c r="M24">
        <v>67.999999999999986</v>
      </c>
      <c r="N24">
        <v>79.999999999999972</v>
      </c>
      <c r="O24">
        <v>100</v>
      </c>
      <c r="P24" s="147">
        <f t="shared" si="2"/>
        <v>0.42389797894064074</v>
      </c>
      <c r="Q24" s="147">
        <f t="shared" si="3"/>
        <v>-1.4288374587811077</v>
      </c>
      <c r="R24" s="147">
        <f t="shared" si="4"/>
        <v>0.37653855114053003</v>
      </c>
      <c r="S24" s="147">
        <f t="shared" si="5"/>
        <v>0.37024511428984713</v>
      </c>
      <c r="T24" s="147">
        <f t="shared" si="6"/>
        <v>1.554879251245568</v>
      </c>
      <c r="U24" s="147">
        <f t="shared" si="7"/>
        <v>-8.2365070413259731E-2</v>
      </c>
      <c r="V24" s="147">
        <f t="shared" si="8"/>
        <v>-0.46158417072354818</v>
      </c>
      <c r="W24" s="147">
        <f t="shared" si="9"/>
        <v>0.64235409564775847</v>
      </c>
      <c r="X24" s="147">
        <f t="shared" si="10"/>
        <v>0.23030384002130272</v>
      </c>
      <c r="Y24" s="147">
        <f t="shared" si="11"/>
        <v>-0.79151172834563954</v>
      </c>
      <c r="Z24" s="147">
        <f t="shared" si="12"/>
        <v>0.97589254607867759</v>
      </c>
      <c r="AA24" s="147">
        <f t="shared" si="13"/>
        <v>-1.7210488856496988</v>
      </c>
      <c r="AB24" s="147">
        <f t="shared" si="14"/>
        <v>0.69752430701033874</v>
      </c>
      <c r="AC24" s="147">
        <f t="shared" si="15"/>
        <v>0</v>
      </c>
      <c r="AD24" s="47">
        <f t="shared" si="16"/>
        <v>0.42389797894064074</v>
      </c>
      <c r="AE24" s="47">
        <f t="shared" si="17"/>
        <v>1.4288374587811077</v>
      </c>
      <c r="AF24" s="47">
        <f t="shared" si="18"/>
        <v>0.37653855114053003</v>
      </c>
      <c r="AG24" s="47">
        <f t="shared" si="19"/>
        <v>0.37024511428984713</v>
      </c>
      <c r="AH24" s="47">
        <f t="shared" si="20"/>
        <v>1.554879251245568</v>
      </c>
      <c r="AI24" s="47">
        <f t="shared" si="21"/>
        <v>8.2365070413259731E-2</v>
      </c>
      <c r="AJ24" s="47">
        <f t="shared" si="22"/>
        <v>0.46158417072354818</v>
      </c>
      <c r="AK24" s="47">
        <f t="shared" si="23"/>
        <v>0.64235409564775847</v>
      </c>
      <c r="AL24" s="47">
        <f t="shared" si="24"/>
        <v>0.23030384002130272</v>
      </c>
      <c r="AM24" s="47">
        <f t="shared" si="25"/>
        <v>0.79151172834563954</v>
      </c>
      <c r="AN24" s="47">
        <f t="shared" si="26"/>
        <v>0.97589254607867759</v>
      </c>
      <c r="AO24" s="47">
        <f t="shared" si="27"/>
        <v>1.7210488856496988</v>
      </c>
      <c r="AP24" s="47">
        <f t="shared" si="28"/>
        <v>0.69752430701033874</v>
      </c>
      <c r="AQ24" s="47">
        <f t="shared" si="29"/>
        <v>0</v>
      </c>
    </row>
    <row r="25" spans="2:43">
      <c r="B25">
        <v>80.999999999999986</v>
      </c>
      <c r="C25">
        <v>83</v>
      </c>
      <c r="D25">
        <v>46.999999999999986</v>
      </c>
      <c r="E25">
        <v>28.000000000003197</v>
      </c>
      <c r="F25">
        <v>90.999999999999986</v>
      </c>
      <c r="G25">
        <v>53.000000000000014</v>
      </c>
      <c r="H25">
        <v>75.999999999999986</v>
      </c>
      <c r="I25">
        <v>70.999999999999986</v>
      </c>
      <c r="J25">
        <v>83.999999999999972</v>
      </c>
      <c r="K25">
        <v>63.000000000000036</v>
      </c>
      <c r="L25">
        <v>82.999999999999986</v>
      </c>
      <c r="M25">
        <v>41.999999999999972</v>
      </c>
      <c r="N25">
        <v>79.999999999999972</v>
      </c>
      <c r="O25">
        <v>93</v>
      </c>
      <c r="P25" s="147">
        <f t="shared" si="2"/>
        <v>-1.4412531283981891</v>
      </c>
      <c r="Q25" s="147">
        <f t="shared" si="3"/>
        <v>0</v>
      </c>
      <c r="R25" s="147">
        <f t="shared" si="4"/>
        <v>-0.69032067709097089</v>
      </c>
      <c r="S25" s="147">
        <f t="shared" si="5"/>
        <v>0.14809804571627011</v>
      </c>
      <c r="T25" s="147">
        <f t="shared" si="6"/>
        <v>-0.31097585024911484</v>
      </c>
      <c r="U25" s="147">
        <f t="shared" si="7"/>
        <v>-0.24709521123977976</v>
      </c>
      <c r="V25" s="147">
        <f t="shared" si="8"/>
        <v>0.32970297908824642</v>
      </c>
      <c r="W25" s="147">
        <f t="shared" si="9"/>
        <v>-1.0511248837872447</v>
      </c>
      <c r="X25" s="147">
        <f t="shared" si="10"/>
        <v>-3.2728144108958577E-15</v>
      </c>
      <c r="Y25" s="147">
        <f t="shared" si="11"/>
        <v>0.31660469133825442</v>
      </c>
      <c r="Z25" s="147">
        <f t="shared" si="12"/>
        <v>-0.57756905788331292</v>
      </c>
      <c r="AA25" s="147">
        <f t="shared" si="13"/>
        <v>-3.2640582314046016</v>
      </c>
      <c r="AB25" s="147">
        <f t="shared" si="14"/>
        <v>0.69752430701033874</v>
      </c>
      <c r="AC25" s="147">
        <f t="shared" si="15"/>
        <v>-1.1288234690342085</v>
      </c>
      <c r="AD25" s="47">
        <f t="shared" si="16"/>
        <v>1.4412531283981891</v>
      </c>
      <c r="AE25" s="47">
        <f t="shared" si="17"/>
        <v>0</v>
      </c>
      <c r="AF25" s="47">
        <f t="shared" si="18"/>
        <v>0.69032067709097089</v>
      </c>
      <c r="AG25" s="47">
        <f t="shared" si="19"/>
        <v>0.14809804571627011</v>
      </c>
      <c r="AH25" s="47">
        <f t="shared" si="20"/>
        <v>0.31097585024911484</v>
      </c>
      <c r="AI25" s="47">
        <f t="shared" si="21"/>
        <v>0.24709521123977976</v>
      </c>
      <c r="AJ25" s="47">
        <f t="shared" si="22"/>
        <v>0.32970297908824642</v>
      </c>
      <c r="AK25" s="47">
        <f t="shared" si="23"/>
        <v>1.0511248837872447</v>
      </c>
      <c r="AL25" s="47">
        <f t="shared" si="24"/>
        <v>3.2728144108958577E-15</v>
      </c>
      <c r="AM25" s="47">
        <f t="shared" si="25"/>
        <v>0.31660469133825442</v>
      </c>
      <c r="AN25" s="47">
        <f t="shared" si="26"/>
        <v>0.57756905788331292</v>
      </c>
      <c r="AO25" s="47">
        <f t="shared" si="27"/>
        <v>3.2640582314046016</v>
      </c>
      <c r="AP25" s="47">
        <f t="shared" si="28"/>
        <v>0.69752430701033874</v>
      </c>
      <c r="AQ25" s="47">
        <f t="shared" si="29"/>
        <v>1.1288234690342085</v>
      </c>
    </row>
    <row r="26" spans="2:43">
      <c r="B26">
        <v>87.999999999999986</v>
      </c>
      <c r="C26">
        <v>99.999999999999972</v>
      </c>
      <c r="D26">
        <v>58.999999999999993</v>
      </c>
      <c r="E26">
        <v>25.999999999995207</v>
      </c>
      <c r="F26">
        <v>106</v>
      </c>
      <c r="G26">
        <v>63.000000000000007</v>
      </c>
      <c r="H26">
        <v>82</v>
      </c>
      <c r="I26">
        <v>115</v>
      </c>
      <c r="J26">
        <v>73.999999999999972</v>
      </c>
      <c r="K26">
        <v>74.000000000000043</v>
      </c>
      <c r="L26">
        <v>113</v>
      </c>
      <c r="M26">
        <v>97</v>
      </c>
      <c r="N26">
        <v>73.999999999999972</v>
      </c>
      <c r="O26">
        <v>100.00000000000001</v>
      </c>
      <c r="P26" s="147">
        <f t="shared" si="2"/>
        <v>-0.25433878736438831</v>
      </c>
      <c r="Q26" s="147">
        <f t="shared" si="3"/>
        <v>0.93423987689533805</v>
      </c>
      <c r="R26" s="147">
        <f t="shared" si="4"/>
        <v>6.2756425190088713E-2</v>
      </c>
      <c r="S26" s="147">
        <f t="shared" si="5"/>
        <v>-3.5541429312921792E-13</v>
      </c>
      <c r="T26" s="147">
        <f t="shared" si="6"/>
        <v>0.6219517004982279</v>
      </c>
      <c r="U26" s="147">
        <f t="shared" si="7"/>
        <v>0.57655549289281693</v>
      </c>
      <c r="V26" s="147">
        <f t="shared" si="8"/>
        <v>0.72534655399414416</v>
      </c>
      <c r="W26" s="147">
        <f t="shared" si="9"/>
        <v>1.5182914988037965</v>
      </c>
      <c r="X26" s="147">
        <f t="shared" si="10"/>
        <v>-1.1515192001065169</v>
      </c>
      <c r="Y26" s="147">
        <f t="shared" si="11"/>
        <v>0.89704662545838998</v>
      </c>
      <c r="Z26" s="147">
        <f t="shared" si="12"/>
        <v>0.61740140670283472</v>
      </c>
      <c r="AA26" s="147">
        <f t="shared" si="13"/>
        <v>0</v>
      </c>
      <c r="AB26" s="147">
        <f t="shared" si="14"/>
        <v>0.29893898871871555</v>
      </c>
      <c r="AC26" s="147">
        <f t="shared" si="15"/>
        <v>2.2916494739364946E-15</v>
      </c>
      <c r="AD26" s="47">
        <f t="shared" si="16"/>
        <v>0.25433878736438831</v>
      </c>
      <c r="AE26" s="47">
        <f t="shared" si="17"/>
        <v>0.93423987689533805</v>
      </c>
      <c r="AF26" s="47">
        <f t="shared" si="18"/>
        <v>6.2756425190088713E-2</v>
      </c>
      <c r="AG26" s="47">
        <f t="shared" si="19"/>
        <v>3.5541429312921792E-13</v>
      </c>
      <c r="AH26" s="47">
        <f t="shared" si="20"/>
        <v>0.6219517004982279</v>
      </c>
      <c r="AI26" s="47">
        <f t="shared" si="21"/>
        <v>0.57655549289281693</v>
      </c>
      <c r="AJ26" s="47">
        <f t="shared" si="22"/>
        <v>0.72534655399414416</v>
      </c>
      <c r="AK26" s="47">
        <f t="shared" si="23"/>
        <v>1.5182914988037965</v>
      </c>
      <c r="AL26" s="47">
        <f t="shared" si="24"/>
        <v>1.1515192001065169</v>
      </c>
      <c r="AM26" s="47">
        <f t="shared" si="25"/>
        <v>0.89704662545838998</v>
      </c>
      <c r="AN26" s="47">
        <f t="shared" si="26"/>
        <v>0.61740140670283472</v>
      </c>
      <c r="AO26" s="47">
        <f t="shared" si="27"/>
        <v>0</v>
      </c>
      <c r="AP26" s="47">
        <f t="shared" si="28"/>
        <v>0.29893898871871555</v>
      </c>
      <c r="AQ26" s="47">
        <f t="shared" si="29"/>
        <v>2.2916494739364946E-15</v>
      </c>
    </row>
    <row r="27" spans="2:43">
      <c r="B27">
        <v>89.999999999999986</v>
      </c>
      <c r="C27">
        <v>100</v>
      </c>
      <c r="D27">
        <v>64.999999999999986</v>
      </c>
      <c r="E27">
        <v>26.00000000000481</v>
      </c>
      <c r="F27">
        <v>80.999999999999986</v>
      </c>
      <c r="G27">
        <v>51.000000000000028</v>
      </c>
      <c r="H27">
        <v>29.999999999999986</v>
      </c>
      <c r="I27">
        <v>58.999999999999972</v>
      </c>
      <c r="J27">
        <v>89.000000000000014</v>
      </c>
      <c r="K27">
        <v>32.000000000000057</v>
      </c>
      <c r="L27">
        <v>96</v>
      </c>
      <c r="M27">
        <v>89.999999999999986</v>
      </c>
      <c r="N27">
        <v>80.000000000000014</v>
      </c>
      <c r="O27">
        <v>102</v>
      </c>
      <c r="P27" s="147">
        <f t="shared" si="2"/>
        <v>8.4779595788126216E-2</v>
      </c>
      <c r="Q27" s="147">
        <f t="shared" si="3"/>
        <v>0.9342398768953396</v>
      </c>
      <c r="R27" s="147">
        <f t="shared" si="4"/>
        <v>0.43929497633061787</v>
      </c>
      <c r="S27" s="147">
        <f t="shared" si="5"/>
        <v>3.5567736810562741E-13</v>
      </c>
      <c r="T27" s="147">
        <f t="shared" si="6"/>
        <v>-0.93292755074734268</v>
      </c>
      <c r="U27" s="147">
        <f t="shared" si="7"/>
        <v>-0.41182535206629806</v>
      </c>
      <c r="V27" s="147">
        <f t="shared" si="8"/>
        <v>-2.7035644285236295</v>
      </c>
      <c r="W27" s="147">
        <f t="shared" si="9"/>
        <v>-1.7518748063120746</v>
      </c>
      <c r="X27" s="147">
        <f t="shared" si="10"/>
        <v>0.57575960005325844</v>
      </c>
      <c r="Y27" s="147">
        <f t="shared" si="11"/>
        <v>-1.3191862139093982</v>
      </c>
      <c r="Z27" s="147">
        <f t="shared" si="12"/>
        <v>-5.9748523229315273E-2</v>
      </c>
      <c r="AA27" s="147">
        <f t="shared" si="13"/>
        <v>-0.41542559308785898</v>
      </c>
      <c r="AB27" s="147">
        <f t="shared" si="14"/>
        <v>0.69752430701034163</v>
      </c>
      <c r="AC27" s="147">
        <f t="shared" si="15"/>
        <v>0.32252099115263094</v>
      </c>
      <c r="AD27" s="47">
        <f t="shared" si="16"/>
        <v>8.4779595788126216E-2</v>
      </c>
      <c r="AE27" s="47">
        <f t="shared" si="17"/>
        <v>0.9342398768953396</v>
      </c>
      <c r="AF27" s="47">
        <f t="shared" si="18"/>
        <v>0.43929497633061787</v>
      </c>
      <c r="AG27" s="47">
        <f t="shared" si="19"/>
        <v>3.5567736810562741E-13</v>
      </c>
      <c r="AH27" s="47">
        <f t="shared" si="20"/>
        <v>0.93292755074734268</v>
      </c>
      <c r="AI27" s="47">
        <f t="shared" si="21"/>
        <v>0.41182535206629806</v>
      </c>
      <c r="AJ27" s="47">
        <f t="shared" si="22"/>
        <v>2.7035644285236295</v>
      </c>
      <c r="AK27" s="47">
        <f t="shared" si="23"/>
        <v>1.7518748063120746</v>
      </c>
      <c r="AL27" s="47">
        <f t="shared" si="24"/>
        <v>0.57575960005325844</v>
      </c>
      <c r="AM27" s="47">
        <f t="shared" si="25"/>
        <v>1.3191862139093982</v>
      </c>
      <c r="AN27" s="47">
        <f t="shared" si="26"/>
        <v>5.9748523229315273E-2</v>
      </c>
      <c r="AO27" s="47">
        <f t="shared" si="27"/>
        <v>0.41542559308785898</v>
      </c>
      <c r="AP27" s="47">
        <f t="shared" si="28"/>
        <v>0.69752430701034163</v>
      </c>
      <c r="AQ27" s="47">
        <f t="shared" si="29"/>
        <v>0.32252099115263094</v>
      </c>
    </row>
    <row r="28" spans="2:43">
      <c r="B28">
        <v>92.999999999999972</v>
      </c>
      <c r="C28">
        <v>84</v>
      </c>
      <c r="D28">
        <v>87.999999999999972</v>
      </c>
      <c r="E28">
        <v>51.000000000003197</v>
      </c>
      <c r="F28">
        <v>105.99999999999999</v>
      </c>
      <c r="G28">
        <v>83</v>
      </c>
      <c r="H28">
        <v>60</v>
      </c>
      <c r="I28">
        <v>103.99999999999999</v>
      </c>
      <c r="J28">
        <v>91.999999999999986</v>
      </c>
      <c r="K28">
        <v>62.00000000000005</v>
      </c>
      <c r="L28">
        <v>93.999999999999972</v>
      </c>
      <c r="M28">
        <v>99</v>
      </c>
      <c r="N28">
        <v>66</v>
      </c>
      <c r="O28">
        <v>107</v>
      </c>
      <c r="P28" s="147">
        <f t="shared" si="2"/>
        <v>0.59345717051689562</v>
      </c>
      <c r="Q28" s="147">
        <f t="shared" si="3"/>
        <v>5.4955286876196448E-2</v>
      </c>
      <c r="R28" s="147">
        <f t="shared" si="4"/>
        <v>1.8826927557026472</v>
      </c>
      <c r="S28" s="147">
        <f t="shared" si="5"/>
        <v>1.8512255714506596</v>
      </c>
      <c r="T28" s="147">
        <f t="shared" si="6"/>
        <v>0.62195170049822701</v>
      </c>
      <c r="U28" s="147">
        <f t="shared" si="7"/>
        <v>2.2238569011580109</v>
      </c>
      <c r="V28" s="147">
        <f t="shared" si="8"/>
        <v>-0.72534655399414416</v>
      </c>
      <c r="W28" s="147">
        <f t="shared" si="9"/>
        <v>0.87593740315603563</v>
      </c>
      <c r="X28" s="147">
        <f t="shared" si="10"/>
        <v>0.92121536008520921</v>
      </c>
      <c r="Y28" s="147">
        <f t="shared" si="11"/>
        <v>0.26383724278187926</v>
      </c>
      <c r="Z28" s="147">
        <f t="shared" si="12"/>
        <v>-0.13941322086839286</v>
      </c>
      <c r="AA28" s="147">
        <f t="shared" si="13"/>
        <v>0.1186930265965309</v>
      </c>
      <c r="AB28" s="147">
        <f t="shared" si="14"/>
        <v>-0.23250810233678021</v>
      </c>
      <c r="AC28" s="147">
        <f t="shared" si="15"/>
        <v>1.1288234690342085</v>
      </c>
      <c r="AD28" s="47">
        <f t="shared" si="16"/>
        <v>0.59345717051689562</v>
      </c>
      <c r="AE28" s="47">
        <f t="shared" si="17"/>
        <v>5.4955286876196448E-2</v>
      </c>
      <c r="AF28" s="47">
        <f t="shared" si="18"/>
        <v>1.8826927557026472</v>
      </c>
      <c r="AG28" s="47">
        <f t="shared" si="19"/>
        <v>1.8512255714506596</v>
      </c>
      <c r="AH28" s="47">
        <f t="shared" si="20"/>
        <v>0.62195170049822701</v>
      </c>
      <c r="AI28" s="47">
        <f t="shared" si="21"/>
        <v>2.2238569011580109</v>
      </c>
      <c r="AJ28" s="47">
        <f t="shared" si="22"/>
        <v>0.72534655399414416</v>
      </c>
      <c r="AK28" s="47">
        <f t="shared" si="23"/>
        <v>0.87593740315603563</v>
      </c>
      <c r="AL28" s="47">
        <f t="shared" si="24"/>
        <v>0.92121536008520921</v>
      </c>
      <c r="AM28" s="47">
        <f t="shared" si="25"/>
        <v>0.26383724278187926</v>
      </c>
      <c r="AN28" s="47">
        <f t="shared" si="26"/>
        <v>0.13941322086839286</v>
      </c>
      <c r="AO28" s="47">
        <f t="shared" si="27"/>
        <v>0.1186930265965309</v>
      </c>
      <c r="AP28" s="47">
        <f t="shared" si="28"/>
        <v>0.23250810233678021</v>
      </c>
      <c r="AQ28" s="47">
        <f t="shared" si="29"/>
        <v>1.1288234690342085</v>
      </c>
    </row>
    <row r="29" spans="2:43">
      <c r="B29">
        <v>81.999999999999986</v>
      </c>
      <c r="C29">
        <v>65.000000000000469</v>
      </c>
      <c r="D29">
        <v>54.999999999999957</v>
      </c>
      <c r="E29">
        <v>16.99999999999681</v>
      </c>
      <c r="F29">
        <v>106</v>
      </c>
      <c r="G29">
        <v>56.000000000000028</v>
      </c>
      <c r="H29">
        <v>67.999999999999972</v>
      </c>
      <c r="I29">
        <v>84.999999999999986</v>
      </c>
      <c r="J29">
        <v>77.000000000000014</v>
      </c>
      <c r="K29">
        <v>36.00000000000005</v>
      </c>
      <c r="L29">
        <v>78.999999999999986</v>
      </c>
      <c r="M29">
        <v>84</v>
      </c>
      <c r="N29">
        <v>78</v>
      </c>
      <c r="O29">
        <v>104</v>
      </c>
      <c r="P29" s="147">
        <f t="shared" si="2"/>
        <v>-1.2716939368219318</v>
      </c>
      <c r="Q29" s="147">
        <f t="shared" si="3"/>
        <v>-0.98919516377151029</v>
      </c>
      <c r="R29" s="147">
        <f t="shared" si="4"/>
        <v>-0.18826927557026657</v>
      </c>
      <c r="S29" s="147">
        <f t="shared" si="5"/>
        <v>-0.66644120572238918</v>
      </c>
      <c r="T29" s="147">
        <f t="shared" si="6"/>
        <v>0.6219517004982279</v>
      </c>
      <c r="U29" s="147">
        <f t="shared" si="7"/>
        <v>5.8523902462510855E-16</v>
      </c>
      <c r="V29" s="147">
        <f t="shared" si="8"/>
        <v>-0.19782178745295029</v>
      </c>
      <c r="W29" s="147">
        <f t="shared" si="9"/>
        <v>-0.23358330750827722</v>
      </c>
      <c r="X29" s="147">
        <f t="shared" si="10"/>
        <v>-0.80606344007455788</v>
      </c>
      <c r="Y29" s="147">
        <f t="shared" si="11"/>
        <v>-1.1081164196838948</v>
      </c>
      <c r="Z29" s="147">
        <f t="shared" si="12"/>
        <v>-0.73689845316146585</v>
      </c>
      <c r="AA29" s="147">
        <f t="shared" si="13"/>
        <v>-0.77150467287745084</v>
      </c>
      <c r="AB29" s="147">
        <f t="shared" si="14"/>
        <v>0.56466253424646629</v>
      </c>
      <c r="AC29" s="147">
        <f t="shared" si="15"/>
        <v>0.64504198230526189</v>
      </c>
      <c r="AD29" s="47">
        <f t="shared" si="16"/>
        <v>1.2716939368219318</v>
      </c>
      <c r="AE29" s="47">
        <f t="shared" si="17"/>
        <v>0.98919516377151029</v>
      </c>
      <c r="AF29" s="47">
        <f t="shared" si="18"/>
        <v>0.18826927557026657</v>
      </c>
      <c r="AG29" s="47">
        <f t="shared" si="19"/>
        <v>0.66644120572238918</v>
      </c>
      <c r="AH29" s="47">
        <f t="shared" si="20"/>
        <v>0.6219517004982279</v>
      </c>
      <c r="AI29" s="47">
        <f t="shared" si="21"/>
        <v>5.8523902462510855E-16</v>
      </c>
      <c r="AJ29" s="47">
        <f t="shared" si="22"/>
        <v>0.19782178745295029</v>
      </c>
      <c r="AK29" s="47">
        <f t="shared" si="23"/>
        <v>0.23358330750827722</v>
      </c>
      <c r="AL29" s="47">
        <f t="shared" si="24"/>
        <v>0.80606344007455788</v>
      </c>
      <c r="AM29" s="47">
        <f t="shared" si="25"/>
        <v>1.1081164196838948</v>
      </c>
      <c r="AN29" s="47">
        <f t="shared" si="26"/>
        <v>0.73689845316146585</v>
      </c>
      <c r="AO29" s="47">
        <f t="shared" si="27"/>
        <v>0.77150467287745084</v>
      </c>
      <c r="AP29" s="47">
        <f t="shared" si="28"/>
        <v>0.56466253424646629</v>
      </c>
      <c r="AQ29" s="47">
        <f t="shared" si="29"/>
        <v>0.64504198230526189</v>
      </c>
    </row>
    <row r="30" spans="2:43">
      <c r="B30">
        <v>84</v>
      </c>
      <c r="C30">
        <v>73.999999999999986</v>
      </c>
      <c r="D30">
        <v>48.999999999999964</v>
      </c>
      <c r="E30">
        <v>21.000000000006416</v>
      </c>
      <c r="F30">
        <v>109.99999999999999</v>
      </c>
      <c r="G30">
        <v>40.000000000000028</v>
      </c>
      <c r="H30">
        <v>72</v>
      </c>
      <c r="I30">
        <v>86</v>
      </c>
      <c r="J30">
        <v>85.999999999999986</v>
      </c>
      <c r="K30">
        <v>53.000000000000043</v>
      </c>
      <c r="L30">
        <v>118.99999999999997</v>
      </c>
      <c r="M30">
        <v>85</v>
      </c>
      <c r="N30">
        <v>69</v>
      </c>
      <c r="O30">
        <v>99.000000000000014</v>
      </c>
      <c r="P30" s="147">
        <f t="shared" si="2"/>
        <v>-0.93257555366941491</v>
      </c>
      <c r="Q30" s="147">
        <f t="shared" si="3"/>
        <v>-0.4945975818857688</v>
      </c>
      <c r="R30" s="147">
        <f t="shared" si="4"/>
        <v>-0.56480782671079577</v>
      </c>
      <c r="S30" s="147">
        <f t="shared" si="5"/>
        <v>-0.3702451142896101</v>
      </c>
      <c r="T30" s="147">
        <f t="shared" si="6"/>
        <v>0.87073238069751813</v>
      </c>
      <c r="U30" s="147">
        <f t="shared" si="7"/>
        <v>-1.317841126612155</v>
      </c>
      <c r="V30" s="147">
        <f t="shared" si="8"/>
        <v>6.5940595817649481E-2</v>
      </c>
      <c r="W30" s="147">
        <f t="shared" si="9"/>
        <v>-0.17518748063120729</v>
      </c>
      <c r="X30" s="147">
        <f t="shared" si="10"/>
        <v>0.23030384002130108</v>
      </c>
      <c r="Y30" s="147">
        <f t="shared" si="11"/>
        <v>-0.21106979422550443</v>
      </c>
      <c r="Z30" s="147">
        <f t="shared" si="12"/>
        <v>0.85639549962006289</v>
      </c>
      <c r="AA30" s="147">
        <f t="shared" si="13"/>
        <v>-0.71215815957918538</v>
      </c>
      <c r="AB30" s="147">
        <f t="shared" si="14"/>
        <v>-3.3215443190968606E-2</v>
      </c>
      <c r="AC30" s="147">
        <f t="shared" si="15"/>
        <v>-0.1612604955763132</v>
      </c>
      <c r="AD30" s="47">
        <f t="shared" si="16"/>
        <v>0.93257555366941491</v>
      </c>
      <c r="AE30" s="47">
        <f t="shared" si="17"/>
        <v>0.4945975818857688</v>
      </c>
      <c r="AF30" s="47">
        <f t="shared" si="18"/>
        <v>0.56480782671079577</v>
      </c>
      <c r="AG30" s="47">
        <f t="shared" si="19"/>
        <v>0.3702451142896101</v>
      </c>
      <c r="AH30" s="47">
        <f t="shared" si="20"/>
        <v>0.87073238069751813</v>
      </c>
      <c r="AI30" s="47">
        <f t="shared" si="21"/>
        <v>1.317841126612155</v>
      </c>
      <c r="AJ30" s="47">
        <f t="shared" si="22"/>
        <v>6.5940595817649481E-2</v>
      </c>
      <c r="AK30" s="47">
        <f t="shared" si="23"/>
        <v>0.17518748063120729</v>
      </c>
      <c r="AL30" s="47">
        <f t="shared" si="24"/>
        <v>0.23030384002130108</v>
      </c>
      <c r="AM30" s="47">
        <f t="shared" si="25"/>
        <v>0.21106979422550443</v>
      </c>
      <c r="AN30" s="47">
        <f t="shared" si="26"/>
        <v>0.85639549962006289</v>
      </c>
      <c r="AO30" s="47">
        <f t="shared" si="27"/>
        <v>0.71215815957918538</v>
      </c>
      <c r="AP30" s="47">
        <f t="shared" si="28"/>
        <v>3.3215443190968606E-2</v>
      </c>
      <c r="AQ30" s="47">
        <f t="shared" si="29"/>
        <v>0.1612604955763132</v>
      </c>
    </row>
    <row r="31" spans="2:43">
      <c r="B31">
        <v>88.999999999999986</v>
      </c>
      <c r="C31">
        <v>80.999999999999972</v>
      </c>
      <c r="D31">
        <v>69</v>
      </c>
      <c r="E31">
        <v>27.00000000000524</v>
      </c>
      <c r="F31">
        <v>82.999999999999986</v>
      </c>
      <c r="G31">
        <v>38</v>
      </c>
      <c r="H31">
        <v>84</v>
      </c>
      <c r="I31">
        <v>109.99999999999997</v>
      </c>
      <c r="J31">
        <v>81.999999999999943</v>
      </c>
      <c r="K31">
        <v>64.000000000000057</v>
      </c>
      <c r="L31">
        <v>98</v>
      </c>
      <c r="M31">
        <v>108</v>
      </c>
      <c r="N31">
        <v>89.999999999999972</v>
      </c>
      <c r="O31">
        <v>88</v>
      </c>
      <c r="P31" s="147">
        <f t="shared" si="2"/>
        <v>-8.4779595788131032E-2</v>
      </c>
      <c r="Q31" s="147">
        <f t="shared" si="3"/>
        <v>-0.10991057375239445</v>
      </c>
      <c r="R31" s="147">
        <f t="shared" si="4"/>
        <v>0.69032067709097178</v>
      </c>
      <c r="S31" s="147">
        <f t="shared" si="5"/>
        <v>7.4049022858404451E-2</v>
      </c>
      <c r="T31" s="147">
        <f t="shared" si="6"/>
        <v>-0.80853721064769712</v>
      </c>
      <c r="U31" s="147">
        <f t="shared" si="7"/>
        <v>-1.4825712674386768</v>
      </c>
      <c r="V31" s="147">
        <f t="shared" si="8"/>
        <v>0.85722774562944315</v>
      </c>
      <c r="W31" s="147">
        <f t="shared" si="9"/>
        <v>1.2263123644184495</v>
      </c>
      <c r="X31" s="147">
        <f t="shared" si="10"/>
        <v>-0.23030384002130924</v>
      </c>
      <c r="Y31" s="147">
        <f t="shared" si="11"/>
        <v>0.36937213989463147</v>
      </c>
      <c r="Z31" s="147">
        <f t="shared" si="12"/>
        <v>1.9916174409761192E-2</v>
      </c>
      <c r="AA31" s="147">
        <f t="shared" si="13"/>
        <v>0.65281164628091992</v>
      </c>
      <c r="AB31" s="147">
        <f t="shared" si="14"/>
        <v>1.3618331708297109</v>
      </c>
      <c r="AC31" s="147">
        <f t="shared" si="15"/>
        <v>-1.9351259469157858</v>
      </c>
      <c r="AD31" s="47">
        <f t="shared" si="16"/>
        <v>8.4779595788131032E-2</v>
      </c>
      <c r="AE31" s="47">
        <f t="shared" si="17"/>
        <v>0.10991057375239445</v>
      </c>
      <c r="AF31" s="47">
        <f t="shared" si="18"/>
        <v>0.69032067709097178</v>
      </c>
      <c r="AG31" s="47">
        <f t="shared" si="19"/>
        <v>7.4049022858404451E-2</v>
      </c>
      <c r="AH31" s="47">
        <f t="shared" si="20"/>
        <v>0.80853721064769712</v>
      </c>
      <c r="AI31" s="47">
        <f t="shared" si="21"/>
        <v>1.4825712674386768</v>
      </c>
      <c r="AJ31" s="47">
        <f t="shared" si="22"/>
        <v>0.85722774562944315</v>
      </c>
      <c r="AK31" s="47">
        <f t="shared" si="23"/>
        <v>1.2263123644184495</v>
      </c>
      <c r="AL31" s="47">
        <f t="shared" si="24"/>
        <v>0.23030384002130924</v>
      </c>
      <c r="AM31" s="47">
        <f t="shared" si="25"/>
        <v>0.36937213989463147</v>
      </c>
      <c r="AN31" s="47">
        <f t="shared" si="26"/>
        <v>1.9916174409761192E-2</v>
      </c>
      <c r="AO31" s="47">
        <f t="shared" si="27"/>
        <v>0.65281164628091992</v>
      </c>
      <c r="AP31" s="47">
        <f t="shared" si="28"/>
        <v>1.3618331708297109</v>
      </c>
      <c r="AQ31" s="47">
        <f t="shared" si="29"/>
        <v>1.9351259469157858</v>
      </c>
    </row>
    <row r="32" spans="2:43">
      <c r="B32">
        <v>87.999999999999986</v>
      </c>
      <c r="C32">
        <v>121</v>
      </c>
      <c r="D32">
        <v>60.999999999999979</v>
      </c>
      <c r="E32">
        <v>28.999999999997279</v>
      </c>
      <c r="F32">
        <v>81</v>
      </c>
      <c r="G32">
        <v>65.000000000000014</v>
      </c>
      <c r="H32">
        <v>80.999999999999986</v>
      </c>
      <c r="I32">
        <v>115</v>
      </c>
      <c r="J32">
        <v>95.999999999999972</v>
      </c>
      <c r="K32">
        <v>72.000000000000028</v>
      </c>
      <c r="L32">
        <v>113.99999999999999</v>
      </c>
      <c r="M32">
        <v>113.99999999999997</v>
      </c>
      <c r="N32">
        <v>84</v>
      </c>
      <c r="O32">
        <v>105</v>
      </c>
      <c r="P32" s="147">
        <f t="shared" si="2"/>
        <v>-0.25433878736438831</v>
      </c>
      <c r="Q32" s="147">
        <f t="shared" si="3"/>
        <v>2.0883009012954648</v>
      </c>
      <c r="R32" s="147">
        <f t="shared" si="4"/>
        <v>0.18826927557026435</v>
      </c>
      <c r="S32" s="147">
        <f t="shared" si="5"/>
        <v>0.22214706857384878</v>
      </c>
      <c r="T32" s="147">
        <f t="shared" si="6"/>
        <v>-0.93292755074734179</v>
      </c>
      <c r="U32" s="147">
        <f t="shared" si="7"/>
        <v>0.74128563371933698</v>
      </c>
      <c r="V32" s="147">
        <f t="shared" si="8"/>
        <v>0.65940595817649383</v>
      </c>
      <c r="W32" s="147">
        <f t="shared" si="9"/>
        <v>1.5182914988037965</v>
      </c>
      <c r="X32" s="147">
        <f t="shared" si="10"/>
        <v>1.3818230401278131</v>
      </c>
      <c r="Y32" s="147">
        <f t="shared" si="11"/>
        <v>0.79151172834563732</v>
      </c>
      <c r="Z32" s="147">
        <f t="shared" si="12"/>
        <v>0.6572337555223724</v>
      </c>
      <c r="AA32" s="147">
        <f t="shared" si="13"/>
        <v>1.0088907260705109</v>
      </c>
      <c r="AB32" s="147">
        <f t="shared" si="14"/>
        <v>0.96324785253808953</v>
      </c>
      <c r="AC32" s="147">
        <f t="shared" si="15"/>
        <v>0.80630247788157738</v>
      </c>
      <c r="AD32" s="47">
        <f t="shared" si="16"/>
        <v>0.25433878736438831</v>
      </c>
      <c r="AE32" s="47">
        <f t="shared" si="17"/>
        <v>2.0883009012954648</v>
      </c>
      <c r="AF32" s="47">
        <f t="shared" si="18"/>
        <v>0.18826927557026435</v>
      </c>
      <c r="AG32" s="47">
        <f t="shared" si="19"/>
        <v>0.22214706857384878</v>
      </c>
      <c r="AH32" s="47">
        <f t="shared" si="20"/>
        <v>0.93292755074734179</v>
      </c>
      <c r="AI32" s="47">
        <f t="shared" si="21"/>
        <v>0.74128563371933698</v>
      </c>
      <c r="AJ32" s="47">
        <f t="shared" si="22"/>
        <v>0.65940595817649383</v>
      </c>
      <c r="AK32" s="47">
        <f t="shared" si="23"/>
        <v>1.5182914988037965</v>
      </c>
      <c r="AL32" s="47">
        <f t="shared" si="24"/>
        <v>1.3818230401278131</v>
      </c>
      <c r="AM32" s="47">
        <f t="shared" si="25"/>
        <v>0.79151172834563732</v>
      </c>
      <c r="AN32" s="47">
        <f t="shared" si="26"/>
        <v>0.6572337555223724</v>
      </c>
      <c r="AO32" s="47">
        <f t="shared" si="27"/>
        <v>1.0088907260705109</v>
      </c>
      <c r="AP32" s="47">
        <f t="shared" si="28"/>
        <v>0.96324785253808953</v>
      </c>
      <c r="AQ32" s="47">
        <f t="shared" si="29"/>
        <v>0.80630247788157738</v>
      </c>
    </row>
    <row r="33" spans="1:16">
      <c r="A33" t="s">
        <v>191</v>
      </c>
      <c r="B33" s="14">
        <f>AVERAGE(B3:B32)</f>
        <v>88.86666666666666</v>
      </c>
      <c r="C33" s="14">
        <f t="shared" ref="C33:O33" si="30">AVERAGE(C3:C32)</f>
        <v>87.500000000000014</v>
      </c>
      <c r="D33" s="14">
        <f t="shared" si="30"/>
        <v>56.766666666666659</v>
      </c>
      <c r="E33" s="14">
        <f t="shared" si="30"/>
        <v>29.600000000001096</v>
      </c>
      <c r="F33" s="14">
        <f t="shared" si="30"/>
        <v>94.533333333333317</v>
      </c>
      <c r="G33" s="14">
        <f t="shared" si="30"/>
        <v>59.166666666666671</v>
      </c>
      <c r="H33" s="14">
        <f t="shared" si="30"/>
        <v>68.13333333333334</v>
      </c>
      <c r="I33" s="14">
        <f t="shared" si="30"/>
        <v>89.466666666666669</v>
      </c>
      <c r="J33" s="14">
        <f t="shared" si="30"/>
        <v>84.58620689655173</v>
      </c>
      <c r="K33" s="14">
        <f t="shared" si="30"/>
        <v>51.700000000000017</v>
      </c>
      <c r="L33" s="14">
        <f t="shared" si="30"/>
        <v>95.833333333333286</v>
      </c>
      <c r="M33" s="14">
        <f t="shared" si="30"/>
        <v>91.066666666666663</v>
      </c>
      <c r="N33" s="14">
        <f t="shared" si="30"/>
        <v>69</v>
      </c>
      <c r="O33" s="14">
        <f t="shared" si="30"/>
        <v>100.44827586206897</v>
      </c>
    </row>
    <row r="34" spans="1:16">
      <c r="A34" t="s">
        <v>193</v>
      </c>
      <c r="B34" s="14">
        <f>_xlfn.STDEV.P(B3:B32)</f>
        <v>5.8976454812257213</v>
      </c>
      <c r="C34" s="14">
        <f t="shared" ref="C34:O34" si="31">_xlfn.STDEV.P(C3:C32)</f>
        <v>18.196611406156521</v>
      </c>
      <c r="D34" s="14">
        <f t="shared" si="31"/>
        <v>15.934623378737955</v>
      </c>
      <c r="E34" s="14">
        <f t="shared" si="31"/>
        <v>13.504567128690136</v>
      </c>
      <c r="F34" s="14">
        <f t="shared" si="31"/>
        <v>16.078418938302256</v>
      </c>
      <c r="G34" s="14">
        <f t="shared" si="31"/>
        <v>12.141068962638958</v>
      </c>
      <c r="H34" s="14">
        <f t="shared" si="31"/>
        <v>15.165164760800399</v>
      </c>
      <c r="I34" s="14">
        <f t="shared" si="31"/>
        <v>17.124511347448365</v>
      </c>
      <c r="J34" s="14">
        <f t="shared" si="31"/>
        <v>8.6841799937639053</v>
      </c>
      <c r="K34" s="14">
        <f t="shared" si="31"/>
        <v>18.95107736603212</v>
      </c>
      <c r="L34" s="14">
        <f t="shared" si="31"/>
        <v>25.105223006821237</v>
      </c>
      <c r="M34" s="14">
        <f t="shared" si="31"/>
        <v>16.85018958020618</v>
      </c>
      <c r="N34" s="14">
        <f t="shared" si="31"/>
        <v>15.05323885414697</v>
      </c>
      <c r="O34" s="14">
        <f t="shared" si="31"/>
        <v>6.2011467621141998</v>
      </c>
    </row>
    <row r="35" spans="1:16">
      <c r="A35" t="s">
        <v>194</v>
      </c>
      <c r="B35">
        <f>COUNTIF(AD3:AD32,"&gt;3")</f>
        <v>1</v>
      </c>
      <c r="C35">
        <f t="shared" ref="C35:O35" si="32">COUNTIF(AE3:AE32,"&gt;3")</f>
        <v>0</v>
      </c>
      <c r="D35">
        <f t="shared" si="32"/>
        <v>0</v>
      </c>
      <c r="E35">
        <f t="shared" si="32"/>
        <v>0</v>
      </c>
      <c r="F35">
        <f t="shared" si="32"/>
        <v>0</v>
      </c>
      <c r="G35">
        <f t="shared" si="32"/>
        <v>0</v>
      </c>
      <c r="H35">
        <f t="shared" si="32"/>
        <v>0</v>
      </c>
      <c r="I35">
        <f t="shared" si="32"/>
        <v>0</v>
      </c>
      <c r="J35">
        <f t="shared" si="32"/>
        <v>1</v>
      </c>
      <c r="K35">
        <f t="shared" si="32"/>
        <v>1</v>
      </c>
      <c r="L35">
        <f t="shared" si="32"/>
        <v>1</v>
      </c>
      <c r="M35">
        <f t="shared" si="32"/>
        <v>1</v>
      </c>
      <c r="N35">
        <f t="shared" si="32"/>
        <v>0</v>
      </c>
      <c r="O35">
        <f t="shared" si="32"/>
        <v>1</v>
      </c>
    </row>
    <row r="36" spans="1:16">
      <c r="A36" t="s">
        <v>211</v>
      </c>
      <c r="B36">
        <f>MEDIAN(B3:B32)</f>
        <v>89.5</v>
      </c>
      <c r="C36">
        <f t="shared" ref="C36:O36" si="33">MEDIAN(C3:C32)</f>
        <v>83</v>
      </c>
      <c r="D36">
        <f t="shared" si="33"/>
        <v>57.999999999999986</v>
      </c>
      <c r="E36">
        <f t="shared" si="33"/>
        <v>26.000000000000007</v>
      </c>
      <c r="F36">
        <f t="shared" si="33"/>
        <v>96</v>
      </c>
      <c r="G36">
        <f t="shared" si="33"/>
        <v>56.000000000000021</v>
      </c>
      <c r="H36">
        <f t="shared" si="33"/>
        <v>71</v>
      </c>
      <c r="I36">
        <f t="shared" si="33"/>
        <v>89</v>
      </c>
      <c r="J36">
        <f t="shared" si="33"/>
        <v>84</v>
      </c>
      <c r="K36">
        <f t="shared" si="33"/>
        <v>57.000000000000057</v>
      </c>
      <c r="L36">
        <f t="shared" si="33"/>
        <v>97.500000000000199</v>
      </c>
      <c r="M36">
        <f t="shared" si="33"/>
        <v>97</v>
      </c>
      <c r="N36">
        <f t="shared" si="33"/>
        <v>69.5</v>
      </c>
      <c r="O36">
        <f t="shared" si="33"/>
        <v>100</v>
      </c>
    </row>
    <row r="38" spans="1:16">
      <c r="B38" t="s">
        <v>212</v>
      </c>
      <c r="C38" t="s">
        <v>196</v>
      </c>
      <c r="D38" t="s">
        <v>194</v>
      </c>
      <c r="O38" s="77"/>
      <c r="P38" s="14"/>
    </row>
    <row r="39" spans="1:16">
      <c r="A39" s="77" t="s">
        <v>202</v>
      </c>
      <c r="B39" s="14">
        <v>88.86666666666666</v>
      </c>
      <c r="C39" s="14">
        <v>6.2011467621141998</v>
      </c>
      <c r="D39">
        <v>1</v>
      </c>
      <c r="O39" s="77"/>
      <c r="P39" s="14"/>
    </row>
    <row r="40" spans="1:16">
      <c r="A40" s="77" t="s">
        <v>203</v>
      </c>
      <c r="B40" s="14">
        <v>87.500000000000014</v>
      </c>
      <c r="C40" s="14">
        <v>25.105223006821237</v>
      </c>
      <c r="D40">
        <v>1</v>
      </c>
      <c r="O40" s="77"/>
      <c r="P40" s="14"/>
    </row>
    <row r="41" spans="1:16">
      <c r="A41" s="77" t="s">
        <v>208</v>
      </c>
      <c r="B41" s="14">
        <v>56.766666666666659</v>
      </c>
      <c r="C41" s="14">
        <v>16.078418938302256</v>
      </c>
      <c r="D41">
        <v>0</v>
      </c>
      <c r="O41" s="77"/>
      <c r="P41" s="14"/>
    </row>
    <row r="42" spans="1:16">
      <c r="A42" s="77" t="s">
        <v>199</v>
      </c>
      <c r="B42" s="14">
        <v>94.533333333333317</v>
      </c>
      <c r="C42" s="14">
        <v>16.85018958020618</v>
      </c>
      <c r="D42">
        <v>0</v>
      </c>
      <c r="O42" s="77"/>
      <c r="P42" s="14"/>
    </row>
    <row r="43" spans="1:16">
      <c r="A43" s="77" t="s">
        <v>207</v>
      </c>
      <c r="B43" s="14">
        <v>59.166666666666671</v>
      </c>
      <c r="C43" s="14">
        <v>17.124511347448365</v>
      </c>
      <c r="D43">
        <v>0</v>
      </c>
      <c r="O43" s="77"/>
      <c r="P43" s="14"/>
    </row>
    <row r="44" spans="1:16">
      <c r="A44" s="77" t="s">
        <v>206</v>
      </c>
      <c r="B44" s="14">
        <v>68.13333333333334</v>
      </c>
      <c r="C44" s="14">
        <v>5.8976454812257213</v>
      </c>
      <c r="D44">
        <v>1</v>
      </c>
      <c r="O44" s="77"/>
      <c r="P44" s="14"/>
    </row>
    <row r="45" spans="1:16">
      <c r="A45" s="77" t="s">
        <v>201</v>
      </c>
      <c r="B45" s="14">
        <v>89.466666666666669</v>
      </c>
      <c r="C45" s="14">
        <v>18.196611406156521</v>
      </c>
      <c r="D45">
        <v>0</v>
      </c>
      <c r="O45" s="77"/>
      <c r="P45" s="14"/>
    </row>
    <row r="46" spans="1:16">
      <c r="A46" s="77" t="s">
        <v>204</v>
      </c>
      <c r="B46" s="14">
        <v>84.58620689655173</v>
      </c>
      <c r="C46" s="14">
        <v>8.6841799937639053</v>
      </c>
      <c r="D46">
        <v>1</v>
      </c>
      <c r="O46" s="77"/>
      <c r="P46" s="14"/>
    </row>
    <row r="47" spans="1:16">
      <c r="A47" s="77" t="s">
        <v>198</v>
      </c>
      <c r="B47" s="14">
        <v>95.833333333333286</v>
      </c>
      <c r="C47" s="14">
        <v>15.05323885414697</v>
      </c>
      <c r="D47">
        <v>0</v>
      </c>
      <c r="O47" s="77"/>
      <c r="P47" s="14"/>
    </row>
    <row r="48" spans="1:16">
      <c r="A48" s="77" t="s">
        <v>200</v>
      </c>
      <c r="B48" s="14">
        <v>91.066666666666663</v>
      </c>
      <c r="C48" s="14">
        <v>15.165164760800399</v>
      </c>
      <c r="D48">
        <v>0</v>
      </c>
      <c r="O48" s="77"/>
      <c r="P48" s="14"/>
    </row>
    <row r="49" spans="1:16">
      <c r="A49" s="77" t="s">
        <v>205</v>
      </c>
      <c r="B49" s="14">
        <v>69</v>
      </c>
      <c r="C49" s="14">
        <v>12.141068962638958</v>
      </c>
      <c r="D49">
        <v>0</v>
      </c>
      <c r="O49" s="77"/>
      <c r="P49" s="14"/>
    </row>
    <row r="50" spans="1:16">
      <c r="A50" s="77" t="s">
        <v>209</v>
      </c>
      <c r="B50" s="14">
        <v>51.700000000000017</v>
      </c>
      <c r="C50" s="14">
        <v>15.934623378737955</v>
      </c>
      <c r="D50">
        <v>0</v>
      </c>
      <c r="O50" s="77"/>
      <c r="P50" s="14"/>
    </row>
    <row r="51" spans="1:16">
      <c r="A51" s="77" t="s">
        <v>210</v>
      </c>
      <c r="B51" s="14">
        <v>29.600000000001096</v>
      </c>
      <c r="C51" s="14">
        <v>18.95107736603212</v>
      </c>
      <c r="D51">
        <v>0</v>
      </c>
      <c r="O51" s="77"/>
      <c r="P51" s="14"/>
    </row>
    <row r="52" spans="1:16">
      <c r="A52" s="77" t="s">
        <v>197</v>
      </c>
      <c r="B52" s="14">
        <v>100.44827586206897</v>
      </c>
      <c r="C52" s="14">
        <v>13.504567128690136</v>
      </c>
      <c r="D52">
        <v>0</v>
      </c>
    </row>
  </sheetData>
  <sortState xmlns:xlrd2="http://schemas.microsoft.com/office/spreadsheetml/2017/richdata2" ref="A39:D52">
    <sortCondition descending="1" ref="B39:B52"/>
  </sortState>
  <mergeCells count="2">
    <mergeCell ref="P1:AC1"/>
    <mergeCell ref="AD1:A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"/>
  <sheetViews>
    <sheetView showGridLines="0" tabSelected="1" zoomScale="80" zoomScaleNormal="80" workbookViewId="0">
      <selection activeCell="D2" sqref="D2"/>
    </sheetView>
  </sheetViews>
  <sheetFormatPr defaultColWidth="10.453125" defaultRowHeight="14.5"/>
  <cols>
    <col min="1" max="1" width="10.453125" style="1"/>
    <col min="2" max="2" width="10.5429687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453125" customWidth="1"/>
    <col min="16" max="16" width="3.54296875" customWidth="1"/>
    <col min="17" max="19" width="11.1796875" customWidth="1"/>
    <col min="20" max="20" width="13.453125" customWidth="1"/>
    <col min="21" max="25" width="11.1796875" customWidth="1"/>
    <col min="26" max="27" width="4" customWidth="1"/>
  </cols>
  <sheetData>
    <row r="1" spans="1:37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6"/>
      <c r="Q1" s="8" t="s">
        <v>14</v>
      </c>
      <c r="R1" s="21" t="s">
        <v>15</v>
      </c>
      <c r="S1" s="8" t="s">
        <v>17</v>
      </c>
      <c r="T1" s="8" t="s">
        <v>18</v>
      </c>
      <c r="U1" s="8" t="s">
        <v>16</v>
      </c>
      <c r="V1" s="8" t="s">
        <v>21</v>
      </c>
      <c r="W1" s="8" t="s">
        <v>19</v>
      </c>
      <c r="X1" s="8" t="s">
        <v>20</v>
      </c>
      <c r="Y1" s="9" t="s">
        <v>28</v>
      </c>
      <c r="AB1" s="22" t="s">
        <v>1</v>
      </c>
      <c r="AC1" s="17" t="s">
        <v>22</v>
      </c>
      <c r="AD1" s="17" t="s">
        <v>31</v>
      </c>
      <c r="AE1" s="17" t="s">
        <v>23</v>
      </c>
      <c r="AF1" s="17" t="s">
        <v>2</v>
      </c>
      <c r="AG1" s="17" t="s">
        <v>24</v>
      </c>
      <c r="AH1" s="17" t="s">
        <v>25</v>
      </c>
      <c r="AI1" s="17" t="s">
        <v>26</v>
      </c>
      <c r="AJ1" s="17" t="s">
        <v>27</v>
      </c>
      <c r="AK1" s="17" t="s">
        <v>29</v>
      </c>
    </row>
    <row r="2" spans="1:37">
      <c r="A2" s="30">
        <v>45717</v>
      </c>
      <c r="B2" s="31">
        <v>45809</v>
      </c>
      <c r="C2" s="32" t="s">
        <v>32</v>
      </c>
      <c r="D2" s="33">
        <v>0</v>
      </c>
      <c r="E2" s="35">
        <v>2.0833333333333332E-2</v>
      </c>
      <c r="F2" s="34">
        <v>30</v>
      </c>
      <c r="G2" s="33">
        <v>0.16666666666666666</v>
      </c>
      <c r="H2" s="36">
        <v>210</v>
      </c>
      <c r="I2" s="37">
        <v>0.1701388888888889</v>
      </c>
      <c r="J2" s="4">
        <v>5</v>
      </c>
      <c r="K2" s="7"/>
      <c r="L2" s="38">
        <v>0.99930555555555556</v>
      </c>
      <c r="M2" s="39">
        <v>1.9444444444444445E-2</v>
      </c>
      <c r="N2" s="33">
        <v>0.10694444444444444</v>
      </c>
      <c r="O2" s="33">
        <v>0.10972222222222222</v>
      </c>
      <c r="P2" s="7"/>
      <c r="Q2" s="13">
        <f>(IF(ABS(M2-L2)*1440&gt;720, ((ABS(M2-L2)*1440)-1440)*1,(M2-L2)*1440))</f>
        <v>-29</v>
      </c>
      <c r="R2" s="13">
        <f>((N2-M2)*1440)</f>
        <v>125.99999999999999</v>
      </c>
      <c r="S2" s="40">
        <f>(IF(ABS(L2-D2)*1440&gt;720, ((ABS(L2-D2)*1440)-1440)*1,(L2-D2)*1440))</f>
        <v>-1</v>
      </c>
      <c r="T2" s="4">
        <f>((M2-E2)*1440)</f>
        <v>-1.9999999999999978</v>
      </c>
      <c r="U2" s="4">
        <f>((N2-G2)*1440)</f>
        <v>-86</v>
      </c>
      <c r="V2" s="4">
        <f>R2-(H2-S2)</f>
        <v>-85.000000000000014</v>
      </c>
      <c r="W2" s="4">
        <f>((O2-I2)*1440)</f>
        <v>-87.000000000000014</v>
      </c>
      <c r="X2" s="13">
        <f>((O2-N2)*1440)</f>
        <v>4.0000000000000053</v>
      </c>
      <c r="Y2" s="15">
        <f>(U2*-1)+S2</f>
        <v>85</v>
      </c>
      <c r="AB2" s="18">
        <v>0</v>
      </c>
      <c r="AC2" s="19">
        <f t="shared" ref="AC2:AC15" si="0">AB2+F2</f>
        <v>30</v>
      </c>
      <c r="AD2" s="19">
        <v>210</v>
      </c>
      <c r="AE2" s="19">
        <f t="shared" ref="AE2:AE15" si="1">AB2+H2+AC2</f>
        <v>240</v>
      </c>
      <c r="AF2" s="20">
        <f t="shared" ref="AF2:AF15" si="2">AB2+S2</f>
        <v>-1</v>
      </c>
      <c r="AG2" s="19">
        <f t="shared" ref="AG2:AG15" si="3">AC2+T2</f>
        <v>28.000000000000004</v>
      </c>
      <c r="AH2" s="19">
        <f t="shared" ref="AH2:AH15" si="4">AG2+R2</f>
        <v>154</v>
      </c>
      <c r="AI2" s="19">
        <f>(AH2/2)+50</f>
        <v>127</v>
      </c>
      <c r="AJ2" s="19">
        <f>AH2+X2</f>
        <v>158</v>
      </c>
      <c r="AK2" s="19">
        <f t="shared" ref="AK2:AK15" si="5">Y2+175</f>
        <v>260</v>
      </c>
    </row>
    <row r="3" spans="1:37" s="26" customFormat="1">
      <c r="A3" s="30">
        <v>45718</v>
      </c>
      <c r="B3" s="31">
        <v>45810</v>
      </c>
      <c r="C3" s="32" t="s">
        <v>32</v>
      </c>
      <c r="D3" s="33">
        <v>0</v>
      </c>
      <c r="E3" s="35">
        <v>2.0833333333333332E-2</v>
      </c>
      <c r="F3" s="34">
        <v>30</v>
      </c>
      <c r="G3" s="33">
        <v>0.16666666666666666</v>
      </c>
      <c r="H3" s="36">
        <v>210</v>
      </c>
      <c r="I3" s="37">
        <v>0.1701388888888889</v>
      </c>
      <c r="J3" s="4">
        <v>5</v>
      </c>
      <c r="K3" s="7"/>
      <c r="L3" s="38">
        <v>0.99930555555555556</v>
      </c>
      <c r="M3" s="39">
        <v>1.9444444444444445E-2</v>
      </c>
      <c r="N3" s="33">
        <v>0.10347222222222222</v>
      </c>
      <c r="O3" s="33">
        <v>0.10555555555555556</v>
      </c>
      <c r="P3" s="7"/>
      <c r="Q3" s="13">
        <f>(IF(ABS(M3-L3)*1440&gt;720, ((ABS(M3-L3)*1440)-1440)*1,(M3-L3)*1440))</f>
        <v>-29</v>
      </c>
      <c r="R3" s="24">
        <f t="shared" ref="R3:R6" si="6">((N3-M3)*1440)</f>
        <v>120.99999999999999</v>
      </c>
      <c r="S3" s="40">
        <f t="shared" ref="S3:S31" si="7">(IF(ABS(L3-D3)*1440&gt;720, ((ABS(L3-D3)*1440)-1440)*1,(L3-D3)*1440))</f>
        <v>-1</v>
      </c>
      <c r="T3" s="23">
        <f t="shared" ref="T3:T6" si="8">((M3-E3)*1440)</f>
        <v>-1.9999999999999978</v>
      </c>
      <c r="U3" s="23">
        <f t="shared" ref="U3:U6" si="9">((N3-G3)*1440)</f>
        <v>-91</v>
      </c>
      <c r="V3" s="23">
        <f t="shared" ref="V3:V6" si="10">R3-(H3-S3)</f>
        <v>-90.000000000000014</v>
      </c>
      <c r="W3" s="4">
        <f t="shared" ref="W3:W31" si="11">((O3-I3)*1440)</f>
        <v>-93.000000000000014</v>
      </c>
      <c r="X3" s="24">
        <f t="shared" ref="X3:X6" si="12">((O3-N3)*1440)</f>
        <v>3.0000000000000093</v>
      </c>
      <c r="Y3" s="25">
        <f t="shared" ref="Y3:Y6" si="13">(U3*-1)+S3</f>
        <v>90</v>
      </c>
      <c r="AB3" s="27">
        <v>0</v>
      </c>
      <c r="AC3" s="28">
        <f t="shared" si="0"/>
        <v>30</v>
      </c>
      <c r="AD3" s="19">
        <v>210</v>
      </c>
      <c r="AE3" s="28">
        <f t="shared" si="1"/>
        <v>240</v>
      </c>
      <c r="AF3" s="29">
        <f t="shared" si="2"/>
        <v>-1</v>
      </c>
      <c r="AG3" s="28">
        <f t="shared" si="3"/>
        <v>28.000000000000004</v>
      </c>
      <c r="AH3" s="28">
        <f t="shared" si="4"/>
        <v>149</v>
      </c>
      <c r="AI3" s="28">
        <f t="shared" ref="AI3:AI6" si="14">(AH3/2)+50</f>
        <v>124.5</v>
      </c>
      <c r="AJ3" s="28">
        <f t="shared" ref="AJ3:AJ15" si="15">AH3+X3</f>
        <v>152</v>
      </c>
      <c r="AK3" s="28">
        <f t="shared" si="5"/>
        <v>265</v>
      </c>
    </row>
    <row r="4" spans="1:37" s="26" customFormat="1">
      <c r="A4" s="30">
        <v>45719</v>
      </c>
      <c r="B4" s="31">
        <v>45811</v>
      </c>
      <c r="C4" s="32" t="s">
        <v>32</v>
      </c>
      <c r="D4" s="33">
        <v>0</v>
      </c>
      <c r="E4" s="35">
        <v>2.0833333333333332E-2</v>
      </c>
      <c r="F4" s="34">
        <v>30</v>
      </c>
      <c r="G4" s="33">
        <v>0.16666666666666666</v>
      </c>
      <c r="H4" s="36">
        <v>210</v>
      </c>
      <c r="I4" s="37">
        <v>0.1701388888888889</v>
      </c>
      <c r="J4" s="4">
        <v>5</v>
      </c>
      <c r="K4" s="7"/>
      <c r="L4" s="38">
        <v>0.99791666666666667</v>
      </c>
      <c r="M4" s="39">
        <v>1.8749999999999999E-2</v>
      </c>
      <c r="N4" s="33">
        <v>0.10277777777777777</v>
      </c>
      <c r="O4" s="33">
        <v>0.10486111111111111</v>
      </c>
      <c r="P4" s="7"/>
      <c r="Q4" s="13">
        <f>(IF(ABS(M4-L4)*1440&gt;720, ((ABS(M4-L4)*1440)-1440)*1,(M4-L4)*1440))</f>
        <v>-30</v>
      </c>
      <c r="R4" s="24">
        <f t="shared" si="6"/>
        <v>120.99999999999999</v>
      </c>
      <c r="S4" s="40">
        <f t="shared" si="7"/>
        <v>-3</v>
      </c>
      <c r="T4" s="23">
        <f t="shared" si="8"/>
        <v>-2.9999999999999991</v>
      </c>
      <c r="U4" s="23">
        <f t="shared" si="9"/>
        <v>-92</v>
      </c>
      <c r="V4" s="23">
        <f t="shared" si="10"/>
        <v>-92.000000000000014</v>
      </c>
      <c r="W4" s="4">
        <f t="shared" si="11"/>
        <v>-94</v>
      </c>
      <c r="X4" s="24">
        <f t="shared" si="12"/>
        <v>3.0000000000000093</v>
      </c>
      <c r="Y4" s="25">
        <f t="shared" si="13"/>
        <v>89</v>
      </c>
      <c r="AB4" s="27">
        <v>0</v>
      </c>
      <c r="AC4" s="28">
        <f t="shared" si="0"/>
        <v>30</v>
      </c>
      <c r="AD4" s="19">
        <v>210</v>
      </c>
      <c r="AE4" s="28">
        <f t="shared" si="1"/>
        <v>240</v>
      </c>
      <c r="AF4" s="29">
        <f t="shared" si="2"/>
        <v>-3</v>
      </c>
      <c r="AG4" s="28">
        <f t="shared" si="3"/>
        <v>27</v>
      </c>
      <c r="AH4" s="28">
        <f t="shared" si="4"/>
        <v>148</v>
      </c>
      <c r="AI4" s="28">
        <f t="shared" si="14"/>
        <v>124</v>
      </c>
      <c r="AJ4" s="28">
        <f t="shared" si="15"/>
        <v>151</v>
      </c>
      <c r="AK4" s="28">
        <f t="shared" si="5"/>
        <v>264</v>
      </c>
    </row>
    <row r="5" spans="1:37">
      <c r="A5" s="30">
        <v>45720</v>
      </c>
      <c r="B5" s="31">
        <v>45812</v>
      </c>
      <c r="C5" s="32" t="s">
        <v>32</v>
      </c>
      <c r="D5" s="33">
        <v>0</v>
      </c>
      <c r="E5" s="35">
        <v>2.0833333333333332E-2</v>
      </c>
      <c r="F5" s="34">
        <v>30</v>
      </c>
      <c r="G5" s="33">
        <v>0.16666666666666666</v>
      </c>
      <c r="H5" s="36">
        <v>210</v>
      </c>
      <c r="I5" s="37">
        <v>0.1701388888888889</v>
      </c>
      <c r="J5" s="4">
        <v>5</v>
      </c>
      <c r="K5" s="7"/>
      <c r="L5" s="38">
        <v>3.7499999999999999E-2</v>
      </c>
      <c r="M5" s="39">
        <v>5.2083333333333336E-2</v>
      </c>
      <c r="N5" s="33">
        <v>0.1388888888888889</v>
      </c>
      <c r="O5" s="33">
        <v>0.14166666666666666</v>
      </c>
      <c r="P5" s="7"/>
      <c r="Q5" s="13">
        <f>(IF(ABS(M5-L5)*1440&gt;720, ((ABS(M5-L5)*1440)-1440)*1,(M5-L5)*1440))</f>
        <v>21.000000000000007</v>
      </c>
      <c r="R5" s="13">
        <f t="shared" si="6"/>
        <v>125</v>
      </c>
      <c r="S5" s="40">
        <f t="shared" si="7"/>
        <v>54</v>
      </c>
      <c r="T5" s="4">
        <f t="shared" si="8"/>
        <v>45</v>
      </c>
      <c r="U5" s="4">
        <f t="shared" si="9"/>
        <v>-39.999999999999979</v>
      </c>
      <c r="V5" s="4">
        <f t="shared" si="10"/>
        <v>-31</v>
      </c>
      <c r="W5" s="4">
        <f t="shared" si="11"/>
        <v>-41.000000000000014</v>
      </c>
      <c r="X5" s="13">
        <f t="shared" si="12"/>
        <v>3.9999999999999858</v>
      </c>
      <c r="Y5" s="15">
        <f t="shared" si="13"/>
        <v>93.999999999999972</v>
      </c>
      <c r="AB5" s="18">
        <v>0</v>
      </c>
      <c r="AC5" s="19">
        <f t="shared" si="0"/>
        <v>30</v>
      </c>
      <c r="AD5" s="19">
        <v>210</v>
      </c>
      <c r="AE5" s="19">
        <f t="shared" si="1"/>
        <v>240</v>
      </c>
      <c r="AF5" s="20">
        <f t="shared" si="2"/>
        <v>54</v>
      </c>
      <c r="AG5" s="19">
        <f t="shared" si="3"/>
        <v>75</v>
      </c>
      <c r="AH5" s="19">
        <f t="shared" si="4"/>
        <v>200</v>
      </c>
      <c r="AI5" s="19">
        <f t="shared" si="14"/>
        <v>150</v>
      </c>
      <c r="AJ5" s="19">
        <f t="shared" si="15"/>
        <v>204</v>
      </c>
      <c r="AK5" s="19">
        <f t="shared" si="5"/>
        <v>269</v>
      </c>
    </row>
    <row r="6" spans="1:37">
      <c r="A6" s="30">
        <v>45721</v>
      </c>
      <c r="B6" s="31">
        <v>45813</v>
      </c>
      <c r="C6" s="32" t="s">
        <v>32</v>
      </c>
      <c r="D6" s="33">
        <v>0</v>
      </c>
      <c r="E6" s="35">
        <v>2.0833333333333332E-2</v>
      </c>
      <c r="F6" s="34">
        <v>30</v>
      </c>
      <c r="G6" s="33">
        <v>0.16666666666666666</v>
      </c>
      <c r="H6" s="36">
        <v>210</v>
      </c>
      <c r="I6" s="37">
        <v>0.1701388888888889</v>
      </c>
      <c r="J6" s="4">
        <v>5</v>
      </c>
      <c r="K6" s="7"/>
      <c r="L6" s="38">
        <v>0.99722222222222223</v>
      </c>
      <c r="M6" s="39">
        <v>1.8055555555555554E-2</v>
      </c>
      <c r="N6" s="33">
        <v>0.10138888888888889</v>
      </c>
      <c r="O6" s="33">
        <v>0.10416666666666667</v>
      </c>
      <c r="P6" s="7"/>
      <c r="Q6" s="13">
        <f t="shared" ref="Q6:Q21" si="16">(IF(ABS(M6-L6)*1440&gt;720, ((ABS(M6-L6)*1440)-1440)*1,(M6-L6)*1440))</f>
        <v>-30</v>
      </c>
      <c r="R6" s="13">
        <f t="shared" si="6"/>
        <v>120.00000000000001</v>
      </c>
      <c r="S6" s="40">
        <f t="shared" si="7"/>
        <v>-4</v>
      </c>
      <c r="T6" s="4">
        <f t="shared" si="8"/>
        <v>-4.0000000000000009</v>
      </c>
      <c r="U6" s="4">
        <f t="shared" si="9"/>
        <v>-93.999999999999986</v>
      </c>
      <c r="V6" s="4">
        <f t="shared" si="10"/>
        <v>-93.999999999999986</v>
      </c>
      <c r="W6" s="4">
        <f t="shared" si="11"/>
        <v>-95</v>
      </c>
      <c r="X6" s="13">
        <f t="shared" si="12"/>
        <v>4.0000000000000053</v>
      </c>
      <c r="Y6" s="15">
        <f t="shared" si="13"/>
        <v>89.999999999999986</v>
      </c>
      <c r="AB6" s="18">
        <v>0</v>
      </c>
      <c r="AC6" s="19">
        <f t="shared" si="0"/>
        <v>30</v>
      </c>
      <c r="AD6" s="19">
        <v>210</v>
      </c>
      <c r="AE6" s="19">
        <f t="shared" si="1"/>
        <v>240</v>
      </c>
      <c r="AF6" s="20">
        <f t="shared" si="2"/>
        <v>-4</v>
      </c>
      <c r="AG6" s="19">
        <f t="shared" si="3"/>
        <v>26</v>
      </c>
      <c r="AH6" s="19">
        <f t="shared" si="4"/>
        <v>146</v>
      </c>
      <c r="AI6" s="19">
        <f t="shared" si="14"/>
        <v>123</v>
      </c>
      <c r="AJ6" s="19">
        <f t="shared" si="15"/>
        <v>150</v>
      </c>
      <c r="AK6" s="19">
        <f t="shared" si="5"/>
        <v>265</v>
      </c>
    </row>
    <row r="7" spans="1:37" s="26" customFormat="1">
      <c r="A7" s="30">
        <v>45722</v>
      </c>
      <c r="B7" s="31">
        <v>45814</v>
      </c>
      <c r="C7" s="32" t="s">
        <v>32</v>
      </c>
      <c r="D7" s="33">
        <v>0</v>
      </c>
      <c r="E7" s="35">
        <v>2.0833333333333332E-2</v>
      </c>
      <c r="F7" s="34">
        <v>30</v>
      </c>
      <c r="G7" s="33">
        <v>0.16666666666666666</v>
      </c>
      <c r="H7" s="36">
        <v>210</v>
      </c>
      <c r="I7" s="37">
        <v>0.1701388888888889</v>
      </c>
      <c r="J7" s="4">
        <v>5</v>
      </c>
      <c r="K7" s="7"/>
      <c r="L7" s="38">
        <v>0.99652777777777779</v>
      </c>
      <c r="M7" s="39">
        <v>1.7361111111111112E-2</v>
      </c>
      <c r="N7" s="33">
        <v>0.10208333333333333</v>
      </c>
      <c r="O7" s="33">
        <v>0.10486111111111111</v>
      </c>
      <c r="P7" s="7"/>
      <c r="Q7" s="13">
        <f t="shared" si="16"/>
        <v>-30</v>
      </c>
      <c r="R7" s="24">
        <f t="shared" ref="R7:R31" si="17">((N7-M7)*1440)</f>
        <v>122</v>
      </c>
      <c r="S7" s="40">
        <f t="shared" si="7"/>
        <v>-5</v>
      </c>
      <c r="T7" s="23">
        <f t="shared" ref="T7:T31" si="18">((M7-E7)*1440)</f>
        <v>-4.9999999999999973</v>
      </c>
      <c r="U7" s="23">
        <f t="shared" ref="U7:U31" si="19">((N7-G7)*1440)</f>
        <v>-92.999999999999986</v>
      </c>
      <c r="V7" s="23">
        <f t="shared" ref="V7:V31" si="20">R7-(H7-S7)</f>
        <v>-93</v>
      </c>
      <c r="W7" s="4">
        <f t="shared" si="11"/>
        <v>-94</v>
      </c>
      <c r="X7" s="24">
        <f t="shared" ref="X7:X31" si="21">((O7-N7)*1440)</f>
        <v>4.0000000000000053</v>
      </c>
      <c r="Y7" s="25">
        <f t="shared" ref="Y7:Y31" si="22">(U7*-1)+S7</f>
        <v>87.999999999999986</v>
      </c>
      <c r="AB7" s="27">
        <v>0</v>
      </c>
      <c r="AC7" s="28">
        <f t="shared" si="0"/>
        <v>30</v>
      </c>
      <c r="AD7" s="19">
        <v>210</v>
      </c>
      <c r="AE7" s="28">
        <f t="shared" si="1"/>
        <v>240</v>
      </c>
      <c r="AF7" s="29">
        <f t="shared" si="2"/>
        <v>-5</v>
      </c>
      <c r="AG7" s="28">
        <f t="shared" si="3"/>
        <v>25.000000000000004</v>
      </c>
      <c r="AH7" s="28">
        <f t="shared" si="4"/>
        <v>147</v>
      </c>
      <c r="AI7" s="28">
        <f t="shared" ref="AI7:AI31" si="23">(AH7/2)+50</f>
        <v>123.5</v>
      </c>
      <c r="AJ7" s="28">
        <f t="shared" si="15"/>
        <v>151</v>
      </c>
      <c r="AK7" s="28">
        <f t="shared" si="5"/>
        <v>263</v>
      </c>
    </row>
    <row r="8" spans="1:37" s="26" customFormat="1">
      <c r="A8" s="30">
        <v>45723</v>
      </c>
      <c r="B8" s="31">
        <v>45815</v>
      </c>
      <c r="C8" s="32" t="s">
        <v>32</v>
      </c>
      <c r="D8" s="33">
        <v>0</v>
      </c>
      <c r="E8" s="35">
        <v>2.0833333333333332E-2</v>
      </c>
      <c r="F8" s="34">
        <v>30</v>
      </c>
      <c r="G8" s="33">
        <v>0.16666666666666666</v>
      </c>
      <c r="H8" s="36">
        <v>210</v>
      </c>
      <c r="I8" s="37">
        <v>0.1701388888888889</v>
      </c>
      <c r="J8" s="4">
        <v>5</v>
      </c>
      <c r="K8" s="7"/>
      <c r="L8" s="38">
        <v>0.99791666666666667</v>
      </c>
      <c r="M8" s="39">
        <v>1.7361111111111112E-2</v>
      </c>
      <c r="N8" s="33">
        <v>0.1</v>
      </c>
      <c r="O8" s="33">
        <v>0.10138888888888889</v>
      </c>
      <c r="P8" s="7"/>
      <c r="Q8" s="13">
        <f t="shared" si="16"/>
        <v>-28</v>
      </c>
      <c r="R8" s="24">
        <f t="shared" si="17"/>
        <v>119.00000000000001</v>
      </c>
      <c r="S8" s="40">
        <f t="shared" si="7"/>
        <v>-3</v>
      </c>
      <c r="T8" s="23">
        <f t="shared" si="18"/>
        <v>-4.9999999999999973</v>
      </c>
      <c r="U8" s="23">
        <f t="shared" si="19"/>
        <v>-95.999999999999972</v>
      </c>
      <c r="V8" s="23">
        <f t="shared" si="20"/>
        <v>-93.999999999999986</v>
      </c>
      <c r="W8" s="4">
        <f t="shared" si="11"/>
        <v>-99.000000000000014</v>
      </c>
      <c r="X8" s="24">
        <f t="shared" si="21"/>
        <v>1.9999999999999929</v>
      </c>
      <c r="Y8" s="25">
        <f t="shared" si="22"/>
        <v>92.999999999999972</v>
      </c>
      <c r="AB8" s="27">
        <v>0</v>
      </c>
      <c r="AC8" s="28">
        <f t="shared" si="0"/>
        <v>30</v>
      </c>
      <c r="AD8" s="19">
        <v>210</v>
      </c>
      <c r="AE8" s="28">
        <f t="shared" si="1"/>
        <v>240</v>
      </c>
      <c r="AF8" s="29">
        <f t="shared" si="2"/>
        <v>-3</v>
      </c>
      <c r="AG8" s="28">
        <f t="shared" si="3"/>
        <v>25.000000000000004</v>
      </c>
      <c r="AH8" s="28">
        <f t="shared" si="4"/>
        <v>144.00000000000003</v>
      </c>
      <c r="AI8" s="28">
        <f t="shared" si="23"/>
        <v>122.00000000000001</v>
      </c>
      <c r="AJ8" s="28">
        <f t="shared" si="15"/>
        <v>146.00000000000003</v>
      </c>
      <c r="AK8" s="28">
        <f t="shared" si="5"/>
        <v>268</v>
      </c>
    </row>
    <row r="9" spans="1:37">
      <c r="A9" s="30">
        <v>45724</v>
      </c>
      <c r="B9" s="31">
        <v>45816</v>
      </c>
      <c r="C9" s="32" t="s">
        <v>32</v>
      </c>
      <c r="D9" s="33">
        <v>0</v>
      </c>
      <c r="E9" s="35">
        <v>2.0833333333333332E-2</v>
      </c>
      <c r="F9" s="34">
        <v>30</v>
      </c>
      <c r="G9" s="33">
        <v>0.16666666666666666</v>
      </c>
      <c r="H9" s="36">
        <v>210</v>
      </c>
      <c r="I9" s="37">
        <v>0.1701388888888889</v>
      </c>
      <c r="J9" s="4">
        <v>5</v>
      </c>
      <c r="K9" s="7"/>
      <c r="L9" s="38">
        <v>0.99930555555555556</v>
      </c>
      <c r="M9" s="39">
        <v>1.9444444444444445E-2</v>
      </c>
      <c r="N9" s="33">
        <v>0.10277777777777777</v>
      </c>
      <c r="O9" s="33">
        <v>0.10555555555555556</v>
      </c>
      <c r="P9" s="7"/>
      <c r="Q9" s="13">
        <f t="shared" si="16"/>
        <v>-29</v>
      </c>
      <c r="R9" s="13">
        <f t="shared" si="17"/>
        <v>120</v>
      </c>
      <c r="S9" s="40">
        <f t="shared" si="7"/>
        <v>-1</v>
      </c>
      <c r="T9" s="4">
        <f t="shared" si="18"/>
        <v>-1.9999999999999978</v>
      </c>
      <c r="U9" s="4">
        <f t="shared" si="19"/>
        <v>-92</v>
      </c>
      <c r="V9" s="4">
        <f t="shared" si="20"/>
        <v>-91</v>
      </c>
      <c r="W9" s="4">
        <f t="shared" si="11"/>
        <v>-93.000000000000014</v>
      </c>
      <c r="X9" s="13">
        <f t="shared" si="21"/>
        <v>4.0000000000000053</v>
      </c>
      <c r="Y9" s="15">
        <f t="shared" si="22"/>
        <v>91</v>
      </c>
      <c r="AB9" s="18">
        <v>0</v>
      </c>
      <c r="AC9" s="19">
        <f t="shared" si="0"/>
        <v>30</v>
      </c>
      <c r="AD9" s="19">
        <v>210</v>
      </c>
      <c r="AE9" s="19">
        <f t="shared" si="1"/>
        <v>240</v>
      </c>
      <c r="AF9" s="20">
        <f t="shared" si="2"/>
        <v>-1</v>
      </c>
      <c r="AG9" s="19">
        <f t="shared" si="3"/>
        <v>28.000000000000004</v>
      </c>
      <c r="AH9" s="19">
        <f t="shared" si="4"/>
        <v>148</v>
      </c>
      <c r="AI9" s="19">
        <f t="shared" si="23"/>
        <v>124</v>
      </c>
      <c r="AJ9" s="19">
        <f t="shared" si="15"/>
        <v>152</v>
      </c>
      <c r="AK9" s="19">
        <f t="shared" si="5"/>
        <v>266</v>
      </c>
    </row>
    <row r="10" spans="1:37">
      <c r="A10" s="30">
        <v>45725</v>
      </c>
      <c r="B10" s="31">
        <v>45817</v>
      </c>
      <c r="C10" s="32" t="s">
        <v>32</v>
      </c>
      <c r="D10" s="33">
        <v>0</v>
      </c>
      <c r="E10" s="35">
        <v>2.0833333333333332E-2</v>
      </c>
      <c r="F10" s="34">
        <v>30</v>
      </c>
      <c r="G10" s="33">
        <v>0.16666666666666666</v>
      </c>
      <c r="H10" s="36">
        <v>210</v>
      </c>
      <c r="I10" s="37">
        <v>0.1701388888888889</v>
      </c>
      <c r="J10" s="4">
        <v>5</v>
      </c>
      <c r="K10" s="7"/>
      <c r="L10" s="38">
        <v>0.99861111111111112</v>
      </c>
      <c r="M10" s="39">
        <v>1.9444444444444445E-2</v>
      </c>
      <c r="N10" s="33">
        <v>0.10833333333333334</v>
      </c>
      <c r="O10" s="33">
        <v>0.1111111111111111</v>
      </c>
      <c r="P10" s="7"/>
      <c r="Q10" s="13">
        <f t="shared" si="16"/>
        <v>-30</v>
      </c>
      <c r="R10" s="13">
        <f t="shared" si="17"/>
        <v>128</v>
      </c>
      <c r="S10" s="40">
        <f t="shared" si="7"/>
        <v>-2</v>
      </c>
      <c r="T10" s="4">
        <f t="shared" si="18"/>
        <v>-1.9999999999999978</v>
      </c>
      <c r="U10" s="4">
        <f t="shared" si="19"/>
        <v>-83.999999999999986</v>
      </c>
      <c r="V10" s="4">
        <f t="shared" si="20"/>
        <v>-84</v>
      </c>
      <c r="W10" s="4">
        <f t="shared" si="11"/>
        <v>-85.000000000000014</v>
      </c>
      <c r="X10" s="13">
        <f t="shared" si="21"/>
        <v>3.9999999999999858</v>
      </c>
      <c r="Y10" s="15">
        <f t="shared" si="22"/>
        <v>81.999999999999986</v>
      </c>
      <c r="AB10" s="18">
        <v>0</v>
      </c>
      <c r="AC10" s="19">
        <f t="shared" si="0"/>
        <v>30</v>
      </c>
      <c r="AD10" s="19">
        <v>210</v>
      </c>
      <c r="AE10" s="19">
        <f t="shared" si="1"/>
        <v>240</v>
      </c>
      <c r="AF10" s="20">
        <f t="shared" si="2"/>
        <v>-2</v>
      </c>
      <c r="AG10" s="19">
        <f t="shared" si="3"/>
        <v>28.000000000000004</v>
      </c>
      <c r="AH10" s="19">
        <f t="shared" si="4"/>
        <v>156</v>
      </c>
      <c r="AI10" s="19">
        <f t="shared" si="23"/>
        <v>128</v>
      </c>
      <c r="AJ10" s="19">
        <f t="shared" si="15"/>
        <v>160</v>
      </c>
      <c r="AK10" s="19">
        <f t="shared" si="5"/>
        <v>257</v>
      </c>
    </row>
    <row r="11" spans="1:37">
      <c r="A11" s="30">
        <v>45726</v>
      </c>
      <c r="B11" s="31">
        <v>45818</v>
      </c>
      <c r="C11" s="32" t="s">
        <v>32</v>
      </c>
      <c r="D11" s="33">
        <v>0</v>
      </c>
      <c r="E11" s="35">
        <v>2.0833333333333332E-2</v>
      </c>
      <c r="F11" s="34">
        <v>30</v>
      </c>
      <c r="G11" s="33">
        <v>0.16666666666666666</v>
      </c>
      <c r="H11" s="36">
        <v>210</v>
      </c>
      <c r="I11" s="37">
        <v>0.1701388888888889</v>
      </c>
      <c r="J11" s="4">
        <v>5</v>
      </c>
      <c r="K11" s="7"/>
      <c r="L11" s="38">
        <v>0.99583333333333335</v>
      </c>
      <c r="M11" s="39">
        <v>1.6666666666666666E-2</v>
      </c>
      <c r="N11" s="33">
        <v>0.10277777777777777</v>
      </c>
      <c r="O11" s="33">
        <v>0.10555555555555556</v>
      </c>
      <c r="P11" s="7"/>
      <c r="Q11" s="13">
        <f t="shared" si="16"/>
        <v>-30</v>
      </c>
      <c r="R11" s="13">
        <f t="shared" si="17"/>
        <v>124</v>
      </c>
      <c r="S11" s="40">
        <f t="shared" si="7"/>
        <v>-6</v>
      </c>
      <c r="T11" s="4">
        <f t="shared" si="18"/>
        <v>-5.9999999999999982</v>
      </c>
      <c r="U11" s="4">
        <f t="shared" si="19"/>
        <v>-92</v>
      </c>
      <c r="V11" s="4">
        <f t="shared" si="20"/>
        <v>-92</v>
      </c>
      <c r="W11" s="4">
        <f t="shared" si="11"/>
        <v>-93.000000000000014</v>
      </c>
      <c r="X11" s="13">
        <f t="shared" si="21"/>
        <v>4.0000000000000053</v>
      </c>
      <c r="Y11" s="15">
        <f t="shared" si="22"/>
        <v>86</v>
      </c>
      <c r="AB11" s="18">
        <v>0</v>
      </c>
      <c r="AC11" s="19">
        <f t="shared" si="0"/>
        <v>30</v>
      </c>
      <c r="AD11" s="19">
        <v>210</v>
      </c>
      <c r="AE11" s="19">
        <f t="shared" si="1"/>
        <v>240</v>
      </c>
      <c r="AF11" s="20">
        <f t="shared" si="2"/>
        <v>-6</v>
      </c>
      <c r="AG11" s="19">
        <f t="shared" si="3"/>
        <v>24</v>
      </c>
      <c r="AH11" s="19">
        <f t="shared" si="4"/>
        <v>148</v>
      </c>
      <c r="AI11" s="19">
        <f t="shared" si="23"/>
        <v>124</v>
      </c>
      <c r="AJ11" s="19">
        <f t="shared" si="15"/>
        <v>152</v>
      </c>
      <c r="AK11" s="19">
        <f t="shared" si="5"/>
        <v>261</v>
      </c>
    </row>
    <row r="12" spans="1:37">
      <c r="A12" s="30">
        <v>45727</v>
      </c>
      <c r="B12" s="31">
        <v>45819</v>
      </c>
      <c r="C12" s="32" t="s">
        <v>32</v>
      </c>
      <c r="D12" s="33">
        <v>0</v>
      </c>
      <c r="E12" s="35">
        <v>2.0833333333333332E-2</v>
      </c>
      <c r="F12" s="34">
        <v>30</v>
      </c>
      <c r="G12" s="33">
        <v>0.16666666666666666</v>
      </c>
      <c r="H12" s="36">
        <v>210</v>
      </c>
      <c r="I12" s="37">
        <v>0.1701388888888889</v>
      </c>
      <c r="J12" s="4">
        <v>5</v>
      </c>
      <c r="K12" s="7"/>
      <c r="L12" s="38">
        <v>2.7777777777777779E-3</v>
      </c>
      <c r="M12" s="39">
        <v>2.2222222222222223E-2</v>
      </c>
      <c r="N12" s="33">
        <v>0.10625</v>
      </c>
      <c r="O12" s="33">
        <v>0.1076388888888889</v>
      </c>
      <c r="P12" s="7"/>
      <c r="Q12" s="13">
        <f t="shared" si="16"/>
        <v>28</v>
      </c>
      <c r="R12" s="13">
        <f t="shared" si="17"/>
        <v>120.99999999999999</v>
      </c>
      <c r="S12" s="40">
        <f t="shared" si="7"/>
        <v>4</v>
      </c>
      <c r="T12" s="4">
        <f t="shared" si="18"/>
        <v>2.0000000000000027</v>
      </c>
      <c r="U12" s="4">
        <f t="shared" si="19"/>
        <v>-86.999999999999986</v>
      </c>
      <c r="V12" s="4">
        <f t="shared" si="20"/>
        <v>-85.000000000000014</v>
      </c>
      <c r="W12" s="4">
        <f t="shared" si="11"/>
        <v>-90</v>
      </c>
      <c r="X12" s="13">
        <f t="shared" si="21"/>
        <v>2.0000000000000129</v>
      </c>
      <c r="Y12" s="15">
        <f t="shared" si="22"/>
        <v>90.999999999999986</v>
      </c>
      <c r="AB12" s="18">
        <v>0</v>
      </c>
      <c r="AC12" s="19">
        <f t="shared" si="0"/>
        <v>30</v>
      </c>
      <c r="AD12" s="19">
        <v>210</v>
      </c>
      <c r="AE12" s="19">
        <f t="shared" si="1"/>
        <v>240</v>
      </c>
      <c r="AF12" s="20">
        <f t="shared" si="2"/>
        <v>4</v>
      </c>
      <c r="AG12" s="19">
        <f t="shared" si="3"/>
        <v>32</v>
      </c>
      <c r="AH12" s="19">
        <f t="shared" si="4"/>
        <v>153</v>
      </c>
      <c r="AI12" s="19">
        <f t="shared" si="23"/>
        <v>126.5</v>
      </c>
      <c r="AJ12" s="19">
        <f t="shared" si="15"/>
        <v>155</v>
      </c>
      <c r="AK12" s="19">
        <f t="shared" si="5"/>
        <v>266</v>
      </c>
    </row>
    <row r="13" spans="1:37">
      <c r="A13" s="30">
        <v>45728</v>
      </c>
      <c r="B13" s="31">
        <v>45820</v>
      </c>
      <c r="C13" s="32" t="s">
        <v>32</v>
      </c>
      <c r="D13" s="33">
        <v>0</v>
      </c>
      <c r="E13" s="35">
        <v>2.0833333333333332E-2</v>
      </c>
      <c r="F13" s="34">
        <v>30</v>
      </c>
      <c r="G13" s="33">
        <v>0.16666666666666666</v>
      </c>
      <c r="H13" s="36">
        <v>210</v>
      </c>
      <c r="I13" s="37">
        <v>0.1701388888888889</v>
      </c>
      <c r="J13" s="4">
        <v>5</v>
      </c>
      <c r="K13" s="7"/>
      <c r="L13" s="38">
        <v>0.99722222222222223</v>
      </c>
      <c r="M13" s="39">
        <v>1.8055555555555554E-2</v>
      </c>
      <c r="N13" s="33">
        <v>0.10138888888888889</v>
      </c>
      <c r="O13" s="33">
        <v>0.10347222222222222</v>
      </c>
      <c r="P13" s="7"/>
      <c r="Q13" s="13">
        <f t="shared" si="16"/>
        <v>-30</v>
      </c>
      <c r="R13" s="13">
        <f t="shared" si="17"/>
        <v>120.00000000000001</v>
      </c>
      <c r="S13" s="40">
        <f t="shared" si="7"/>
        <v>-4</v>
      </c>
      <c r="T13" s="4">
        <f t="shared" si="18"/>
        <v>-4.0000000000000009</v>
      </c>
      <c r="U13" s="4">
        <f t="shared" si="19"/>
        <v>-93.999999999999986</v>
      </c>
      <c r="V13" s="4">
        <f t="shared" si="20"/>
        <v>-93.999999999999986</v>
      </c>
      <c r="W13" s="4">
        <f t="shared" si="11"/>
        <v>-96.000000000000014</v>
      </c>
      <c r="X13" s="13">
        <f t="shared" si="21"/>
        <v>2.9999999999999893</v>
      </c>
      <c r="Y13" s="15">
        <f t="shared" si="22"/>
        <v>89.999999999999986</v>
      </c>
      <c r="AB13" s="18">
        <v>0</v>
      </c>
      <c r="AC13" s="19">
        <f t="shared" si="0"/>
        <v>30</v>
      </c>
      <c r="AD13" s="19">
        <v>210</v>
      </c>
      <c r="AE13" s="19">
        <f t="shared" si="1"/>
        <v>240</v>
      </c>
      <c r="AF13" s="20">
        <f t="shared" si="2"/>
        <v>-4</v>
      </c>
      <c r="AG13" s="19">
        <f t="shared" si="3"/>
        <v>26</v>
      </c>
      <c r="AH13" s="19">
        <f t="shared" si="4"/>
        <v>146</v>
      </c>
      <c r="AI13" s="19">
        <f t="shared" si="23"/>
        <v>123</v>
      </c>
      <c r="AJ13" s="19">
        <f t="shared" si="15"/>
        <v>149</v>
      </c>
      <c r="AK13" s="19">
        <f t="shared" si="5"/>
        <v>265</v>
      </c>
    </row>
    <row r="14" spans="1:37">
      <c r="A14" s="30">
        <v>45729</v>
      </c>
      <c r="B14" s="31">
        <v>45821</v>
      </c>
      <c r="C14" s="32" t="s">
        <v>32</v>
      </c>
      <c r="D14" s="33">
        <v>0</v>
      </c>
      <c r="E14" s="35">
        <v>2.0833333333333332E-2</v>
      </c>
      <c r="F14" s="34">
        <v>30</v>
      </c>
      <c r="G14" s="33">
        <v>0.16666666666666666</v>
      </c>
      <c r="H14" s="36">
        <v>210</v>
      </c>
      <c r="I14" s="37">
        <v>0.1701388888888889</v>
      </c>
      <c r="J14" s="4">
        <v>5</v>
      </c>
      <c r="K14" s="7"/>
      <c r="L14" s="38">
        <v>7.2916666666666671E-2</v>
      </c>
      <c r="M14" s="39">
        <v>8.1944444444444445E-2</v>
      </c>
      <c r="N14" s="33">
        <v>0.16319444444444445</v>
      </c>
      <c r="O14" s="33">
        <v>0.16527777777777777</v>
      </c>
      <c r="P14" s="7"/>
      <c r="Q14" s="13">
        <f t="shared" si="16"/>
        <v>12.999999999999993</v>
      </c>
      <c r="R14" s="13">
        <f t="shared" si="17"/>
        <v>117</v>
      </c>
      <c r="S14" s="40">
        <f t="shared" si="7"/>
        <v>105</v>
      </c>
      <c r="T14" s="4">
        <f t="shared" si="18"/>
        <v>88</v>
      </c>
      <c r="U14" s="4">
        <f t="shared" si="19"/>
        <v>-4.9999999999999822</v>
      </c>
      <c r="V14" s="4">
        <f t="shared" si="20"/>
        <v>12</v>
      </c>
      <c r="W14" s="4">
        <f t="shared" si="11"/>
        <v>-7.0000000000000151</v>
      </c>
      <c r="X14" s="13">
        <f t="shared" si="21"/>
        <v>2.9999999999999893</v>
      </c>
      <c r="Y14" s="15">
        <f t="shared" si="22"/>
        <v>109.99999999999999</v>
      </c>
      <c r="AB14" s="18">
        <v>0</v>
      </c>
      <c r="AC14" s="19">
        <f t="shared" si="0"/>
        <v>30</v>
      </c>
      <c r="AD14" s="19">
        <v>210</v>
      </c>
      <c r="AE14" s="19">
        <f t="shared" si="1"/>
        <v>240</v>
      </c>
      <c r="AF14" s="20">
        <f t="shared" si="2"/>
        <v>105</v>
      </c>
      <c r="AG14" s="19">
        <f t="shared" si="3"/>
        <v>118</v>
      </c>
      <c r="AH14" s="19">
        <f t="shared" si="4"/>
        <v>235</v>
      </c>
      <c r="AI14" s="19">
        <f t="shared" si="23"/>
        <v>167.5</v>
      </c>
      <c r="AJ14" s="19">
        <f t="shared" si="15"/>
        <v>238</v>
      </c>
      <c r="AK14" s="19">
        <f t="shared" si="5"/>
        <v>285</v>
      </c>
    </row>
    <row r="15" spans="1:37" s="26" customFormat="1">
      <c r="A15" s="30">
        <v>45730</v>
      </c>
      <c r="B15" s="31">
        <v>45822</v>
      </c>
      <c r="C15" s="32" t="s">
        <v>32</v>
      </c>
      <c r="D15" s="33">
        <v>0</v>
      </c>
      <c r="E15" s="35">
        <v>2.0833333333333332E-2</v>
      </c>
      <c r="F15" s="34">
        <v>30</v>
      </c>
      <c r="G15" s="33">
        <v>0.16666666666666666</v>
      </c>
      <c r="H15" s="36">
        <v>210</v>
      </c>
      <c r="I15" s="37">
        <v>0.1701388888888889</v>
      </c>
      <c r="J15" s="4">
        <v>5</v>
      </c>
      <c r="K15" s="7"/>
      <c r="L15" s="38">
        <v>5.4166666666666669E-2</v>
      </c>
      <c r="M15" s="39">
        <v>7.2916666666666671E-2</v>
      </c>
      <c r="N15" s="33">
        <v>0.15625</v>
      </c>
      <c r="O15" s="33">
        <v>0.15833333333333333</v>
      </c>
      <c r="P15" s="7"/>
      <c r="Q15" s="13">
        <f t="shared" si="16"/>
        <v>27.000000000000004</v>
      </c>
      <c r="R15" s="24">
        <f t="shared" si="17"/>
        <v>120</v>
      </c>
      <c r="S15" s="40">
        <f t="shared" si="7"/>
        <v>78</v>
      </c>
      <c r="T15" s="23">
        <f t="shared" si="18"/>
        <v>75.000000000000014</v>
      </c>
      <c r="U15" s="23">
        <f t="shared" si="19"/>
        <v>-14.999999999999986</v>
      </c>
      <c r="V15" s="23">
        <f t="shared" si="20"/>
        <v>-12</v>
      </c>
      <c r="W15" s="4">
        <f t="shared" si="11"/>
        <v>-17.000000000000021</v>
      </c>
      <c r="X15" s="24">
        <f t="shared" si="21"/>
        <v>2.9999999999999893</v>
      </c>
      <c r="Y15" s="25">
        <f t="shared" si="22"/>
        <v>92.999999999999986</v>
      </c>
      <c r="AB15" s="27">
        <v>0</v>
      </c>
      <c r="AC15" s="28">
        <f t="shared" si="0"/>
        <v>30</v>
      </c>
      <c r="AD15" s="19">
        <v>210</v>
      </c>
      <c r="AE15" s="28">
        <f t="shared" si="1"/>
        <v>240</v>
      </c>
      <c r="AF15" s="29">
        <f t="shared" si="2"/>
        <v>78</v>
      </c>
      <c r="AG15" s="28">
        <f t="shared" si="3"/>
        <v>105.00000000000001</v>
      </c>
      <c r="AH15" s="28">
        <f t="shared" si="4"/>
        <v>225</v>
      </c>
      <c r="AI15" s="28">
        <f t="shared" si="23"/>
        <v>162.5</v>
      </c>
      <c r="AJ15" s="28">
        <f t="shared" si="15"/>
        <v>228</v>
      </c>
      <c r="AK15" s="28">
        <f t="shared" si="5"/>
        <v>268</v>
      </c>
    </row>
    <row r="16" spans="1:37">
      <c r="A16" s="30">
        <v>45731</v>
      </c>
      <c r="B16" s="31">
        <v>45823</v>
      </c>
      <c r="C16" s="32" t="s">
        <v>32</v>
      </c>
      <c r="D16" s="33">
        <v>0</v>
      </c>
      <c r="E16" s="35">
        <v>2.0833333333333332E-2</v>
      </c>
      <c r="F16" s="34">
        <v>30</v>
      </c>
      <c r="G16" s="33">
        <v>0.16666666666666666</v>
      </c>
      <c r="H16" s="36">
        <v>210</v>
      </c>
      <c r="I16" s="37">
        <v>0.1701388888888889</v>
      </c>
      <c r="J16" s="4">
        <v>5</v>
      </c>
      <c r="K16" s="7"/>
      <c r="L16" s="38">
        <v>2.7083333333333334E-2</v>
      </c>
      <c r="M16" s="39">
        <v>4.3055555555555555E-2</v>
      </c>
      <c r="N16" s="33">
        <v>0.12916666666666668</v>
      </c>
      <c r="O16" s="33">
        <v>0.13125000000000001</v>
      </c>
      <c r="P16" s="7"/>
      <c r="Q16" s="13">
        <f t="shared" ref="Q16" si="24">(IF(ABS(M16-L16)*1440&gt;720, ((ABS(M16-L16)*1440)-1440)*1,(M16-L16)*1440))</f>
        <v>23</v>
      </c>
      <c r="R16" s="24">
        <f t="shared" ref="R16" si="25">((N16-M16)*1440)</f>
        <v>124.00000000000001</v>
      </c>
      <c r="S16" s="40">
        <f t="shared" ref="S16" si="26">(IF(ABS(L16-D16)*1440&gt;720, ((ABS(L16-D16)*1440)-1440)*1,(L16-D16)*1440))</f>
        <v>39</v>
      </c>
      <c r="T16" s="23">
        <f t="shared" ref="T16" si="27">((M16-E16)*1440)</f>
        <v>32</v>
      </c>
      <c r="U16" s="23">
        <f t="shared" ref="U16" si="28">((N16-G16)*1440)</f>
        <v>-53.999999999999972</v>
      </c>
      <c r="V16" s="23">
        <f t="shared" ref="V16" si="29">R16-(H16-S16)</f>
        <v>-46.999999999999986</v>
      </c>
      <c r="W16" s="4">
        <f t="shared" si="11"/>
        <v>-56</v>
      </c>
      <c r="X16" s="24">
        <f t="shared" ref="X16" si="30">((O16-N16)*1440)</f>
        <v>2.9999999999999893</v>
      </c>
      <c r="Y16" s="25">
        <f t="shared" ref="Y16" si="31">(U16*-1)+S16</f>
        <v>92.999999999999972</v>
      </c>
      <c r="AB16" s="27">
        <v>0</v>
      </c>
      <c r="AC16" s="28">
        <f t="shared" ref="AC16" si="32">AB16+F16</f>
        <v>30</v>
      </c>
      <c r="AD16" s="19">
        <v>210</v>
      </c>
      <c r="AE16" s="28">
        <f t="shared" ref="AE16" si="33">AB16+H16+AC16</f>
        <v>240</v>
      </c>
      <c r="AF16" s="29">
        <f t="shared" ref="AF16" si="34">AB16+S16</f>
        <v>39</v>
      </c>
      <c r="AG16" s="28">
        <f t="shared" ref="AG16" si="35">AC16+T16</f>
        <v>62</v>
      </c>
      <c r="AH16" s="28">
        <f t="shared" ref="AH16" si="36">AG16+R16</f>
        <v>186</v>
      </c>
      <c r="AI16" s="28">
        <f t="shared" ref="AI16" si="37">(AH16/2)+50</f>
        <v>143</v>
      </c>
      <c r="AJ16" s="28">
        <f t="shared" ref="AJ16" si="38">AH16+X16</f>
        <v>189</v>
      </c>
      <c r="AK16" s="28">
        <f t="shared" ref="AK16" si="39">Y16+175</f>
        <v>268</v>
      </c>
    </row>
    <row r="17" spans="1:37">
      <c r="A17" s="30">
        <v>45732</v>
      </c>
      <c r="B17" s="31">
        <v>45824</v>
      </c>
      <c r="C17" s="32" t="s">
        <v>32</v>
      </c>
      <c r="D17" s="33">
        <v>0</v>
      </c>
      <c r="E17" s="35">
        <v>2.0833333333333332E-2</v>
      </c>
      <c r="F17" s="34">
        <v>30</v>
      </c>
      <c r="G17" s="33">
        <v>0.16666666666666666</v>
      </c>
      <c r="H17" s="36">
        <v>210</v>
      </c>
      <c r="I17" s="37">
        <v>0.1701388888888889</v>
      </c>
      <c r="J17" s="4">
        <v>5</v>
      </c>
      <c r="K17" s="7"/>
      <c r="L17" s="38">
        <v>2.7083333333333334E-2</v>
      </c>
      <c r="M17" s="39">
        <v>4.2361111111111113E-2</v>
      </c>
      <c r="N17" s="33">
        <v>0.13055555555555556</v>
      </c>
      <c r="O17" s="33">
        <v>0.13333333333333333</v>
      </c>
      <c r="P17" s="7"/>
      <c r="Q17" s="13">
        <f t="shared" si="16"/>
        <v>22</v>
      </c>
      <c r="R17" s="13">
        <f t="shared" si="17"/>
        <v>127.00000000000001</v>
      </c>
      <c r="S17" s="40">
        <f t="shared" si="7"/>
        <v>39</v>
      </c>
      <c r="T17" s="4">
        <f t="shared" si="18"/>
        <v>31.000000000000004</v>
      </c>
      <c r="U17" s="4">
        <f t="shared" si="19"/>
        <v>-51.999999999999972</v>
      </c>
      <c r="V17" s="4">
        <f t="shared" si="20"/>
        <v>-43.999999999999986</v>
      </c>
      <c r="W17" s="4">
        <f t="shared" si="11"/>
        <v>-53.000000000000014</v>
      </c>
      <c r="X17" s="13">
        <f t="shared" si="21"/>
        <v>3.9999999999999858</v>
      </c>
      <c r="Y17" s="15">
        <f t="shared" si="22"/>
        <v>90.999999999999972</v>
      </c>
      <c r="AB17" s="18">
        <v>0</v>
      </c>
      <c r="AC17" s="19">
        <f t="shared" ref="AC17:AC31" si="40">AB17+F17</f>
        <v>30</v>
      </c>
      <c r="AD17" s="19">
        <v>210</v>
      </c>
      <c r="AE17" s="19">
        <f t="shared" ref="AE17:AE31" si="41">AB17+H17+AC17</f>
        <v>240</v>
      </c>
      <c r="AF17" s="20">
        <f t="shared" ref="AF17:AF31" si="42">AB17+S17</f>
        <v>39</v>
      </c>
      <c r="AG17" s="19">
        <f t="shared" ref="AG17:AG31" si="43">AC17+T17</f>
        <v>61</v>
      </c>
      <c r="AH17" s="19">
        <f t="shared" ref="AH17:AH31" si="44">AG17+R17</f>
        <v>188</v>
      </c>
      <c r="AI17" s="19">
        <f t="shared" si="23"/>
        <v>144</v>
      </c>
      <c r="AJ17" s="19">
        <f t="shared" ref="AJ17:AJ31" si="45">AH17+X17</f>
        <v>192</v>
      </c>
      <c r="AK17" s="19">
        <f t="shared" ref="AK17:AK31" si="46">Y17+175</f>
        <v>266</v>
      </c>
    </row>
    <row r="18" spans="1:37">
      <c r="A18" s="30">
        <v>45733</v>
      </c>
      <c r="B18" s="31">
        <v>45825</v>
      </c>
      <c r="C18" s="32" t="s">
        <v>32</v>
      </c>
      <c r="D18" s="33">
        <v>0</v>
      </c>
      <c r="E18" s="35">
        <v>2.0833333333333332E-2</v>
      </c>
      <c r="F18" s="34">
        <v>30</v>
      </c>
      <c r="G18" s="33">
        <v>0.16666666666666666</v>
      </c>
      <c r="H18" s="36">
        <v>210</v>
      </c>
      <c r="I18" s="37">
        <v>0.1701388888888889</v>
      </c>
      <c r="J18" s="4">
        <v>5</v>
      </c>
      <c r="K18" s="7"/>
      <c r="L18" s="38">
        <v>0.99722222222222223</v>
      </c>
      <c r="M18" s="39">
        <v>1.8055555555555554E-2</v>
      </c>
      <c r="N18" s="33">
        <v>0.10277777777777777</v>
      </c>
      <c r="O18" s="33">
        <v>0.10486111111111111</v>
      </c>
      <c r="P18" s="7"/>
      <c r="Q18" s="13">
        <f>(IF(ABS(M18-L18)*1440&gt;720, ((ABS(M18-L18)*1440)-1440)*1,(M18-L18)*1440))</f>
        <v>-30</v>
      </c>
      <c r="R18" s="13">
        <f t="shared" si="17"/>
        <v>122</v>
      </c>
      <c r="S18" s="40">
        <f t="shared" si="7"/>
        <v>-4</v>
      </c>
      <c r="T18" s="4">
        <f t="shared" si="18"/>
        <v>-4.0000000000000009</v>
      </c>
      <c r="U18" s="4">
        <f t="shared" si="19"/>
        <v>-92</v>
      </c>
      <c r="V18" s="4">
        <f t="shared" si="20"/>
        <v>-92</v>
      </c>
      <c r="W18" s="4">
        <f t="shared" si="11"/>
        <v>-94</v>
      </c>
      <c r="X18" s="13">
        <f t="shared" si="21"/>
        <v>3.0000000000000093</v>
      </c>
      <c r="Y18" s="15">
        <f t="shared" si="22"/>
        <v>88</v>
      </c>
      <c r="AB18" s="18">
        <v>0</v>
      </c>
      <c r="AC18" s="19">
        <f t="shared" si="40"/>
        <v>30</v>
      </c>
      <c r="AD18" s="19">
        <v>210</v>
      </c>
      <c r="AE18" s="19">
        <f t="shared" si="41"/>
        <v>240</v>
      </c>
      <c r="AF18" s="20">
        <f t="shared" si="42"/>
        <v>-4</v>
      </c>
      <c r="AG18" s="19">
        <f t="shared" si="43"/>
        <v>26</v>
      </c>
      <c r="AH18" s="19">
        <f t="shared" si="44"/>
        <v>148</v>
      </c>
      <c r="AI18" s="19">
        <f t="shared" si="23"/>
        <v>124</v>
      </c>
      <c r="AJ18" s="19">
        <f t="shared" si="45"/>
        <v>151</v>
      </c>
      <c r="AK18" s="19">
        <f t="shared" si="46"/>
        <v>263</v>
      </c>
    </row>
    <row r="19" spans="1:37">
      <c r="A19" s="30">
        <v>45734</v>
      </c>
      <c r="B19" s="31">
        <v>45826</v>
      </c>
      <c r="C19" s="32" t="s">
        <v>32</v>
      </c>
      <c r="D19" s="33">
        <v>0</v>
      </c>
      <c r="E19" s="35">
        <v>2.0833333333333332E-2</v>
      </c>
      <c r="F19" s="34">
        <v>30</v>
      </c>
      <c r="G19" s="33">
        <v>0.16666666666666666</v>
      </c>
      <c r="H19" s="36">
        <v>210</v>
      </c>
      <c r="I19" s="37">
        <v>0.1701388888888889</v>
      </c>
      <c r="J19" s="4">
        <v>5</v>
      </c>
      <c r="K19" s="7"/>
      <c r="L19" s="38">
        <v>4.8611111111111112E-3</v>
      </c>
      <c r="M19" s="39">
        <v>2.5694444444444443E-2</v>
      </c>
      <c r="N19" s="33">
        <v>0.11874999999999999</v>
      </c>
      <c r="O19" s="33">
        <v>0.12083333333333333</v>
      </c>
      <c r="P19" s="7"/>
      <c r="Q19" s="13">
        <f t="shared" si="16"/>
        <v>30</v>
      </c>
      <c r="R19" s="13">
        <f t="shared" si="17"/>
        <v>134</v>
      </c>
      <c r="S19" s="40">
        <f t="shared" si="7"/>
        <v>7</v>
      </c>
      <c r="T19" s="4">
        <f t="shared" si="18"/>
        <v>7</v>
      </c>
      <c r="U19" s="4">
        <f t="shared" si="19"/>
        <v>-69</v>
      </c>
      <c r="V19" s="4">
        <f t="shared" si="20"/>
        <v>-69</v>
      </c>
      <c r="W19" s="4">
        <f t="shared" si="11"/>
        <v>-71.000000000000014</v>
      </c>
      <c r="X19" s="13">
        <f t="shared" si="21"/>
        <v>3.0000000000000093</v>
      </c>
      <c r="Y19" s="15">
        <f t="shared" si="22"/>
        <v>76</v>
      </c>
      <c r="AB19" s="18">
        <v>0</v>
      </c>
      <c r="AC19" s="19">
        <f t="shared" si="40"/>
        <v>30</v>
      </c>
      <c r="AD19" s="19">
        <v>210</v>
      </c>
      <c r="AE19" s="19">
        <f t="shared" si="41"/>
        <v>240</v>
      </c>
      <c r="AF19" s="20">
        <f t="shared" si="42"/>
        <v>7</v>
      </c>
      <c r="AG19" s="19">
        <f t="shared" si="43"/>
        <v>37</v>
      </c>
      <c r="AH19" s="19">
        <f t="shared" si="44"/>
        <v>171</v>
      </c>
      <c r="AI19" s="19">
        <f t="shared" si="23"/>
        <v>135.5</v>
      </c>
      <c r="AJ19" s="19">
        <f t="shared" si="45"/>
        <v>174</v>
      </c>
      <c r="AK19" s="19">
        <f t="shared" si="46"/>
        <v>251</v>
      </c>
    </row>
    <row r="20" spans="1:37" s="26" customFormat="1">
      <c r="A20" s="30">
        <v>45735</v>
      </c>
      <c r="B20" s="31">
        <v>45827</v>
      </c>
      <c r="C20" s="32" t="s">
        <v>32</v>
      </c>
      <c r="D20" s="33">
        <v>0</v>
      </c>
      <c r="E20" s="35">
        <v>2.0833333333333332E-2</v>
      </c>
      <c r="F20" s="34">
        <v>30</v>
      </c>
      <c r="G20" s="33">
        <v>0.16666666666666666</v>
      </c>
      <c r="H20" s="36">
        <v>210</v>
      </c>
      <c r="I20" s="37">
        <v>0.1701388888888889</v>
      </c>
      <c r="J20" s="4">
        <v>5</v>
      </c>
      <c r="K20" s="7"/>
      <c r="L20" s="38">
        <v>6.9444444444444447E-4</v>
      </c>
      <c r="M20" s="39">
        <v>2.013888888888889E-2</v>
      </c>
      <c r="N20" s="33">
        <v>0.10416666666666667</v>
      </c>
      <c r="O20" s="33">
        <v>0.10694444444444444</v>
      </c>
      <c r="P20" s="7"/>
      <c r="Q20" s="13">
        <f t="shared" si="16"/>
        <v>28</v>
      </c>
      <c r="R20" s="24">
        <f t="shared" si="17"/>
        <v>121.00000000000001</v>
      </c>
      <c r="S20" s="40">
        <f t="shared" si="7"/>
        <v>1</v>
      </c>
      <c r="T20" s="23">
        <f t="shared" si="18"/>
        <v>-0.99999999999999645</v>
      </c>
      <c r="U20" s="23">
        <f t="shared" si="19"/>
        <v>-89.999999999999986</v>
      </c>
      <c r="V20" s="23">
        <f t="shared" si="20"/>
        <v>-87.999999999999986</v>
      </c>
      <c r="W20" s="4">
        <f t="shared" si="11"/>
        <v>-91.000000000000014</v>
      </c>
      <c r="X20" s="24">
        <f t="shared" si="21"/>
        <v>3.9999999999999858</v>
      </c>
      <c r="Y20" s="25">
        <f t="shared" si="22"/>
        <v>90.999999999999986</v>
      </c>
      <c r="AB20" s="27">
        <v>0</v>
      </c>
      <c r="AC20" s="28">
        <f t="shared" si="40"/>
        <v>30</v>
      </c>
      <c r="AD20" s="19">
        <v>210</v>
      </c>
      <c r="AE20" s="28">
        <f t="shared" si="41"/>
        <v>240</v>
      </c>
      <c r="AF20" s="29">
        <f t="shared" si="42"/>
        <v>1</v>
      </c>
      <c r="AG20" s="28">
        <f t="shared" si="43"/>
        <v>29.000000000000004</v>
      </c>
      <c r="AH20" s="28">
        <f t="shared" si="44"/>
        <v>150.00000000000003</v>
      </c>
      <c r="AI20" s="28">
        <f t="shared" si="23"/>
        <v>125.00000000000001</v>
      </c>
      <c r="AJ20" s="28">
        <f t="shared" si="45"/>
        <v>154</v>
      </c>
      <c r="AK20" s="28">
        <f t="shared" si="46"/>
        <v>266</v>
      </c>
    </row>
    <row r="21" spans="1:37">
      <c r="A21" s="30">
        <v>45736</v>
      </c>
      <c r="B21" s="31">
        <v>45828</v>
      </c>
      <c r="C21" s="32" t="s">
        <v>32</v>
      </c>
      <c r="D21" s="33">
        <v>0</v>
      </c>
      <c r="E21" s="35">
        <v>2.0833333333333332E-2</v>
      </c>
      <c r="F21" s="34">
        <v>30</v>
      </c>
      <c r="G21" s="33">
        <v>0.16666666666666666</v>
      </c>
      <c r="H21" s="36">
        <v>210</v>
      </c>
      <c r="I21" s="37">
        <v>0.1701388888888889</v>
      </c>
      <c r="J21" s="4">
        <v>5</v>
      </c>
      <c r="K21" s="7"/>
      <c r="L21" s="38">
        <v>0.99722222222222223</v>
      </c>
      <c r="M21" s="39">
        <v>1.7361111111111112E-2</v>
      </c>
      <c r="N21" s="33">
        <v>0.10902777777777778</v>
      </c>
      <c r="O21" s="33">
        <v>0.1111111111111111</v>
      </c>
      <c r="P21" s="7"/>
      <c r="Q21" s="13">
        <f t="shared" si="16"/>
        <v>-29</v>
      </c>
      <c r="R21" s="13">
        <f>((N21-M21)*1440)</f>
        <v>132</v>
      </c>
      <c r="S21" s="40">
        <f t="shared" si="7"/>
        <v>-4</v>
      </c>
      <c r="T21" s="4">
        <f t="shared" si="18"/>
        <v>-4.9999999999999973</v>
      </c>
      <c r="U21" s="4">
        <f t="shared" si="19"/>
        <v>-82.999999999999986</v>
      </c>
      <c r="V21" s="4">
        <f t="shared" si="20"/>
        <v>-82</v>
      </c>
      <c r="W21" s="4">
        <f t="shared" si="11"/>
        <v>-85.000000000000014</v>
      </c>
      <c r="X21" s="13">
        <f t="shared" si="21"/>
        <v>2.9999999999999893</v>
      </c>
      <c r="Y21" s="15">
        <f t="shared" si="22"/>
        <v>78.999999999999986</v>
      </c>
      <c r="AB21" s="18">
        <v>0</v>
      </c>
      <c r="AC21" s="19">
        <f t="shared" si="40"/>
        <v>30</v>
      </c>
      <c r="AD21" s="19">
        <v>210</v>
      </c>
      <c r="AE21" s="19">
        <f t="shared" si="41"/>
        <v>240</v>
      </c>
      <c r="AF21" s="20">
        <f t="shared" si="42"/>
        <v>-4</v>
      </c>
      <c r="AG21" s="19">
        <f t="shared" si="43"/>
        <v>25.000000000000004</v>
      </c>
      <c r="AH21" s="19">
        <f t="shared" si="44"/>
        <v>157</v>
      </c>
      <c r="AI21" s="19">
        <f t="shared" si="23"/>
        <v>128.5</v>
      </c>
      <c r="AJ21" s="19">
        <f t="shared" si="45"/>
        <v>160</v>
      </c>
      <c r="AK21" s="19">
        <f t="shared" si="46"/>
        <v>254</v>
      </c>
    </row>
    <row r="22" spans="1:37">
      <c r="A22" s="30">
        <v>45737</v>
      </c>
      <c r="B22" s="31">
        <v>45829</v>
      </c>
      <c r="C22" s="32" t="s">
        <v>32</v>
      </c>
      <c r="D22" s="33">
        <v>0</v>
      </c>
      <c r="E22" s="35">
        <v>2.0833333333333332E-2</v>
      </c>
      <c r="F22" s="34">
        <v>30</v>
      </c>
      <c r="G22" s="33">
        <v>0.16666666666666666</v>
      </c>
      <c r="H22" s="36">
        <v>210</v>
      </c>
      <c r="I22" s="37">
        <v>0.1701388888888889</v>
      </c>
      <c r="J22" s="4">
        <v>5</v>
      </c>
      <c r="K22" s="7"/>
      <c r="L22" s="38">
        <v>0</v>
      </c>
      <c r="M22" s="39">
        <v>2.0833333333333332E-2</v>
      </c>
      <c r="N22" s="33">
        <v>0.10486111111111111</v>
      </c>
      <c r="O22" s="33">
        <v>0.10694444444444444</v>
      </c>
      <c r="P22" s="7"/>
      <c r="Q22" s="13">
        <f>(IF(ABS(M22-L22)*1440&gt;720, ((ABS(M22-L22)*1440)-1440)*1,(M22-L22)*1440))</f>
        <v>30</v>
      </c>
      <c r="R22" s="13">
        <f t="shared" si="17"/>
        <v>121.00000000000001</v>
      </c>
      <c r="S22" s="40">
        <f t="shared" si="7"/>
        <v>0</v>
      </c>
      <c r="T22" s="4">
        <f t="shared" si="18"/>
        <v>0</v>
      </c>
      <c r="U22" s="4">
        <f t="shared" si="19"/>
        <v>-88.999999999999986</v>
      </c>
      <c r="V22" s="4">
        <f t="shared" si="20"/>
        <v>-88.999999999999986</v>
      </c>
      <c r="W22" s="4">
        <f t="shared" si="11"/>
        <v>-91.000000000000014</v>
      </c>
      <c r="X22" s="13">
        <f t="shared" si="21"/>
        <v>2.9999999999999893</v>
      </c>
      <c r="Y22" s="15">
        <f t="shared" si="22"/>
        <v>88.999999999999986</v>
      </c>
      <c r="AB22" s="18">
        <v>0</v>
      </c>
      <c r="AC22" s="19">
        <f t="shared" si="40"/>
        <v>30</v>
      </c>
      <c r="AD22" s="19">
        <v>210</v>
      </c>
      <c r="AE22" s="19">
        <f t="shared" si="41"/>
        <v>240</v>
      </c>
      <c r="AF22" s="20">
        <f t="shared" si="42"/>
        <v>0</v>
      </c>
      <c r="AG22" s="19">
        <f t="shared" si="43"/>
        <v>30</v>
      </c>
      <c r="AH22" s="19">
        <f t="shared" si="44"/>
        <v>151</v>
      </c>
      <c r="AI22" s="19">
        <f t="shared" si="23"/>
        <v>125.5</v>
      </c>
      <c r="AJ22" s="19">
        <f t="shared" si="45"/>
        <v>154</v>
      </c>
      <c r="AK22" s="19">
        <f t="shared" si="46"/>
        <v>264</v>
      </c>
    </row>
    <row r="23" spans="1:37">
      <c r="A23" s="30">
        <v>45738</v>
      </c>
      <c r="B23" s="31">
        <v>45830</v>
      </c>
      <c r="C23" s="32" t="s">
        <v>32</v>
      </c>
      <c r="D23" s="33">
        <v>0</v>
      </c>
      <c r="E23" s="35">
        <v>2.0833333333333332E-2</v>
      </c>
      <c r="F23" s="34">
        <v>30</v>
      </c>
      <c r="G23" s="33">
        <v>0.16666666666666666</v>
      </c>
      <c r="H23" s="36">
        <v>210</v>
      </c>
      <c r="I23" s="37">
        <v>0.1701388888888889</v>
      </c>
      <c r="J23" s="4">
        <v>5</v>
      </c>
      <c r="K23" s="7"/>
      <c r="L23" s="38">
        <v>1.3888888888888889E-3</v>
      </c>
      <c r="M23" s="39">
        <v>2.013888888888889E-2</v>
      </c>
      <c r="N23" s="33">
        <v>0.10416666666666667</v>
      </c>
      <c r="O23" s="33">
        <v>0.10625</v>
      </c>
      <c r="P23" s="7"/>
      <c r="Q23" s="13">
        <f>(IF(ABS(M23-L23)*1440&gt;720, ((ABS(M23-L23)*1440)-1440)*1,(M23-L23)*1440))</f>
        <v>27.000000000000004</v>
      </c>
      <c r="R23" s="13">
        <f t="shared" si="17"/>
        <v>121.00000000000001</v>
      </c>
      <c r="S23" s="40">
        <f t="shared" si="7"/>
        <v>2</v>
      </c>
      <c r="T23" s="4">
        <f t="shared" si="18"/>
        <v>-0.99999999999999645</v>
      </c>
      <c r="U23" s="4">
        <f t="shared" si="19"/>
        <v>-89.999999999999986</v>
      </c>
      <c r="V23" s="4">
        <f t="shared" si="20"/>
        <v>-86.999999999999986</v>
      </c>
      <c r="W23" s="4">
        <f t="shared" si="11"/>
        <v>-92.000000000000014</v>
      </c>
      <c r="X23" s="13">
        <f t="shared" si="21"/>
        <v>2.9999999999999893</v>
      </c>
      <c r="Y23" s="15">
        <f t="shared" si="22"/>
        <v>91.999999999999986</v>
      </c>
      <c r="AB23" s="18">
        <v>0</v>
      </c>
      <c r="AC23" s="19">
        <f t="shared" si="40"/>
        <v>30</v>
      </c>
      <c r="AD23" s="19">
        <v>210</v>
      </c>
      <c r="AE23" s="19">
        <f t="shared" si="41"/>
        <v>240</v>
      </c>
      <c r="AF23" s="20">
        <f t="shared" si="42"/>
        <v>2</v>
      </c>
      <c r="AG23" s="19">
        <f t="shared" si="43"/>
        <v>29.000000000000004</v>
      </c>
      <c r="AH23" s="19">
        <f t="shared" si="44"/>
        <v>150.00000000000003</v>
      </c>
      <c r="AI23" s="19">
        <f t="shared" si="23"/>
        <v>125.00000000000001</v>
      </c>
      <c r="AJ23" s="19">
        <f t="shared" si="45"/>
        <v>153.00000000000003</v>
      </c>
      <c r="AK23" s="19">
        <f t="shared" si="46"/>
        <v>267</v>
      </c>
    </row>
    <row r="24" spans="1:37">
      <c r="A24" s="30">
        <v>45739</v>
      </c>
      <c r="B24" s="31">
        <v>45831</v>
      </c>
      <c r="C24" s="32" t="s">
        <v>32</v>
      </c>
      <c r="D24" s="33">
        <v>0</v>
      </c>
      <c r="E24" s="35">
        <v>2.0833333333333332E-2</v>
      </c>
      <c r="F24" s="34">
        <v>30</v>
      </c>
      <c r="G24" s="33">
        <v>0.16666666666666666</v>
      </c>
      <c r="H24" s="36">
        <v>210</v>
      </c>
      <c r="I24" s="37">
        <v>0.1701388888888889</v>
      </c>
      <c r="J24" s="4">
        <v>5</v>
      </c>
      <c r="K24" s="7"/>
      <c r="L24" s="38">
        <v>0.99861111111111112</v>
      </c>
      <c r="M24" s="39">
        <v>1.8749999999999999E-2</v>
      </c>
      <c r="N24" s="33">
        <v>0.10902777777777778</v>
      </c>
      <c r="O24" s="33">
        <v>0.1111111111111111</v>
      </c>
      <c r="P24" s="7"/>
      <c r="Q24" s="13">
        <f>(IF(ABS(M24-L24)*1440&gt;720, ((ABS(M24-L24)*1440)-1440)*1,(M24-L24)*1440))</f>
        <v>-29</v>
      </c>
      <c r="R24" s="13">
        <f t="shared" si="17"/>
        <v>130</v>
      </c>
      <c r="S24" s="40">
        <f t="shared" si="7"/>
        <v>-2</v>
      </c>
      <c r="T24" s="4">
        <f t="shared" si="18"/>
        <v>-2.9999999999999991</v>
      </c>
      <c r="U24" s="4">
        <f t="shared" si="19"/>
        <v>-82.999999999999986</v>
      </c>
      <c r="V24" s="4">
        <f t="shared" si="20"/>
        <v>-82</v>
      </c>
      <c r="W24" s="4">
        <f t="shared" si="11"/>
        <v>-85.000000000000014</v>
      </c>
      <c r="X24" s="13">
        <f t="shared" si="21"/>
        <v>2.9999999999999893</v>
      </c>
      <c r="Y24" s="15">
        <f t="shared" si="22"/>
        <v>80.999999999999986</v>
      </c>
      <c r="AB24" s="18">
        <v>0</v>
      </c>
      <c r="AC24" s="19">
        <f t="shared" si="40"/>
        <v>30</v>
      </c>
      <c r="AD24" s="19">
        <v>210</v>
      </c>
      <c r="AE24" s="19">
        <f t="shared" si="41"/>
        <v>240</v>
      </c>
      <c r="AF24" s="20">
        <f t="shared" si="42"/>
        <v>-2</v>
      </c>
      <c r="AG24" s="19">
        <f t="shared" si="43"/>
        <v>27</v>
      </c>
      <c r="AH24" s="19">
        <f t="shared" si="44"/>
        <v>157</v>
      </c>
      <c r="AI24" s="19">
        <f t="shared" si="23"/>
        <v>128.5</v>
      </c>
      <c r="AJ24" s="19">
        <f t="shared" si="45"/>
        <v>160</v>
      </c>
      <c r="AK24" s="19">
        <f t="shared" si="46"/>
        <v>256</v>
      </c>
    </row>
    <row r="25" spans="1:37" s="26" customFormat="1">
      <c r="A25" s="30">
        <v>45740</v>
      </c>
      <c r="B25" s="31">
        <v>45832</v>
      </c>
      <c r="C25" s="32" t="s">
        <v>32</v>
      </c>
      <c r="D25" s="33">
        <v>0</v>
      </c>
      <c r="E25" s="35">
        <v>2.0833333333333332E-2</v>
      </c>
      <c r="F25" s="34">
        <v>30</v>
      </c>
      <c r="G25" s="33">
        <v>0.16666666666666666</v>
      </c>
      <c r="H25" s="36">
        <v>210</v>
      </c>
      <c r="I25" s="37">
        <v>0.1701388888888889</v>
      </c>
      <c r="J25" s="4">
        <v>5</v>
      </c>
      <c r="K25" s="7"/>
      <c r="L25" s="38">
        <v>2.7777777777777779E-3</v>
      </c>
      <c r="M25" s="39">
        <v>2.2222222222222223E-2</v>
      </c>
      <c r="N25" s="33">
        <v>0.10833333333333334</v>
      </c>
      <c r="O25" s="33">
        <v>0.1111111111111111</v>
      </c>
      <c r="P25" s="7"/>
      <c r="Q25" s="13">
        <f>(IF(ABS(M25-L25)*1440&gt;720, ((ABS(M25-L25)*1440)-1440)*1,(M25-L25)*1440))</f>
        <v>28</v>
      </c>
      <c r="R25" s="24">
        <f t="shared" si="17"/>
        <v>124</v>
      </c>
      <c r="S25" s="40">
        <f t="shared" si="7"/>
        <v>4</v>
      </c>
      <c r="T25" s="23">
        <f t="shared" si="18"/>
        <v>2.0000000000000027</v>
      </c>
      <c r="U25" s="23">
        <f t="shared" si="19"/>
        <v>-83.999999999999986</v>
      </c>
      <c r="V25" s="23">
        <f t="shared" si="20"/>
        <v>-82</v>
      </c>
      <c r="W25" s="4">
        <f t="shared" si="11"/>
        <v>-85.000000000000014</v>
      </c>
      <c r="X25" s="24">
        <f t="shared" si="21"/>
        <v>3.9999999999999858</v>
      </c>
      <c r="Y25" s="25">
        <f t="shared" si="22"/>
        <v>87.999999999999986</v>
      </c>
      <c r="AB25" s="27">
        <v>0</v>
      </c>
      <c r="AC25" s="28">
        <f t="shared" si="40"/>
        <v>30</v>
      </c>
      <c r="AD25" s="19">
        <v>210</v>
      </c>
      <c r="AE25" s="28">
        <f t="shared" si="41"/>
        <v>240</v>
      </c>
      <c r="AF25" s="29">
        <f t="shared" si="42"/>
        <v>4</v>
      </c>
      <c r="AG25" s="28">
        <f t="shared" si="43"/>
        <v>32</v>
      </c>
      <c r="AH25" s="28">
        <f t="shared" si="44"/>
        <v>156</v>
      </c>
      <c r="AI25" s="28">
        <f t="shared" si="23"/>
        <v>128</v>
      </c>
      <c r="AJ25" s="28">
        <f t="shared" si="45"/>
        <v>160</v>
      </c>
      <c r="AK25" s="28">
        <f t="shared" si="46"/>
        <v>263</v>
      </c>
    </row>
    <row r="26" spans="1:37">
      <c r="A26" s="30">
        <v>45741</v>
      </c>
      <c r="B26" s="31">
        <v>45833</v>
      </c>
      <c r="C26" s="32" t="s">
        <v>32</v>
      </c>
      <c r="D26" s="33">
        <v>0</v>
      </c>
      <c r="E26" s="35">
        <v>2.0833333333333332E-2</v>
      </c>
      <c r="F26" s="34">
        <v>30</v>
      </c>
      <c r="G26" s="33">
        <v>0.16666666666666666</v>
      </c>
      <c r="H26" s="36">
        <v>210</v>
      </c>
      <c r="I26" s="37">
        <v>0.1701388888888889</v>
      </c>
      <c r="J26" s="4">
        <v>5</v>
      </c>
      <c r="K26" s="7"/>
      <c r="L26" s="38">
        <v>5.5555555555555558E-3</v>
      </c>
      <c r="M26" s="39">
        <v>2.4305555555555556E-2</v>
      </c>
      <c r="N26" s="33">
        <v>0.10972222222222222</v>
      </c>
      <c r="O26" s="33">
        <v>0.11180555555555556</v>
      </c>
      <c r="P26" s="7"/>
      <c r="Q26" s="13">
        <f t="shared" ref="Q26:Q31" si="47">(IF(ABS(M26-L26)*1440&gt;720, ((ABS(M26-L26)*1440)-1440)*1,(M26-L26)*1440))</f>
        <v>27</v>
      </c>
      <c r="R26" s="13">
        <f t="shared" si="17"/>
        <v>123</v>
      </c>
      <c r="S26" s="40">
        <f t="shared" si="7"/>
        <v>8</v>
      </c>
      <c r="T26" s="4">
        <f t="shared" si="18"/>
        <v>5.0000000000000018</v>
      </c>
      <c r="U26" s="4">
        <f t="shared" si="19"/>
        <v>-81.999999999999986</v>
      </c>
      <c r="V26" s="4">
        <f t="shared" si="20"/>
        <v>-79</v>
      </c>
      <c r="W26" s="4">
        <f t="shared" si="11"/>
        <v>-84</v>
      </c>
      <c r="X26" s="13">
        <f t="shared" si="21"/>
        <v>3.0000000000000093</v>
      </c>
      <c r="Y26" s="15">
        <f t="shared" si="22"/>
        <v>89.999999999999986</v>
      </c>
      <c r="AB26" s="18">
        <v>0</v>
      </c>
      <c r="AC26" s="19">
        <f t="shared" si="40"/>
        <v>30</v>
      </c>
      <c r="AD26" s="19">
        <v>210</v>
      </c>
      <c r="AE26" s="19">
        <f t="shared" si="41"/>
        <v>240</v>
      </c>
      <c r="AF26" s="20">
        <f t="shared" si="42"/>
        <v>8</v>
      </c>
      <c r="AG26" s="19">
        <f t="shared" si="43"/>
        <v>35</v>
      </c>
      <c r="AH26" s="19">
        <f t="shared" si="44"/>
        <v>158</v>
      </c>
      <c r="AI26" s="19">
        <f t="shared" si="23"/>
        <v>129</v>
      </c>
      <c r="AJ26" s="19">
        <f t="shared" si="45"/>
        <v>161</v>
      </c>
      <c r="AK26" s="19">
        <f t="shared" si="46"/>
        <v>265</v>
      </c>
    </row>
    <row r="27" spans="1:37">
      <c r="A27" s="30">
        <v>45742</v>
      </c>
      <c r="B27" s="31">
        <v>45834</v>
      </c>
      <c r="C27" s="32" t="s">
        <v>32</v>
      </c>
      <c r="D27" s="33">
        <v>0</v>
      </c>
      <c r="E27" s="35">
        <v>2.0833333333333332E-2</v>
      </c>
      <c r="F27" s="34">
        <v>30</v>
      </c>
      <c r="G27" s="33">
        <v>0.16666666666666666</v>
      </c>
      <c r="H27" s="36">
        <v>210</v>
      </c>
      <c r="I27" s="37">
        <v>0.1701388888888889</v>
      </c>
      <c r="J27" s="4">
        <v>5</v>
      </c>
      <c r="K27" s="7"/>
      <c r="L27" s="38">
        <v>2.7083333333333334E-2</v>
      </c>
      <c r="M27" s="39">
        <v>4.1666666666666664E-2</v>
      </c>
      <c r="N27" s="33">
        <v>0.12916666666666668</v>
      </c>
      <c r="O27" s="33">
        <v>0.13194444444444445</v>
      </c>
      <c r="P27" s="7"/>
      <c r="Q27" s="13">
        <f t="shared" si="47"/>
        <v>20.999999999999996</v>
      </c>
      <c r="R27" s="13">
        <f>((N27-M27)*1440)</f>
        <v>126.00000000000003</v>
      </c>
      <c r="S27" s="40">
        <f t="shared" si="7"/>
        <v>39</v>
      </c>
      <c r="T27" s="4">
        <f t="shared" si="18"/>
        <v>30</v>
      </c>
      <c r="U27" s="4">
        <f t="shared" si="19"/>
        <v>-53.999999999999972</v>
      </c>
      <c r="V27" s="4">
        <f t="shared" si="20"/>
        <v>-44.999999999999972</v>
      </c>
      <c r="W27" s="4">
        <f t="shared" si="11"/>
        <v>-55.000000000000007</v>
      </c>
      <c r="X27" s="13">
        <f t="shared" si="21"/>
        <v>3.9999999999999858</v>
      </c>
      <c r="Y27" s="15">
        <f t="shared" si="22"/>
        <v>92.999999999999972</v>
      </c>
      <c r="AB27" s="18">
        <v>0</v>
      </c>
      <c r="AC27" s="19">
        <f t="shared" si="40"/>
        <v>30</v>
      </c>
      <c r="AD27" s="19">
        <v>210</v>
      </c>
      <c r="AE27" s="19">
        <f t="shared" si="41"/>
        <v>240</v>
      </c>
      <c r="AF27" s="20">
        <f t="shared" si="42"/>
        <v>39</v>
      </c>
      <c r="AG27" s="19">
        <f t="shared" si="43"/>
        <v>60</v>
      </c>
      <c r="AH27" s="19">
        <f t="shared" si="44"/>
        <v>186.00000000000003</v>
      </c>
      <c r="AI27" s="19">
        <f t="shared" si="23"/>
        <v>143</v>
      </c>
      <c r="AJ27" s="19">
        <f t="shared" si="45"/>
        <v>190</v>
      </c>
      <c r="AK27" s="19">
        <f t="shared" si="46"/>
        <v>268</v>
      </c>
    </row>
    <row r="28" spans="1:37">
      <c r="A28" s="30">
        <v>45743</v>
      </c>
      <c r="B28" s="31">
        <v>45835</v>
      </c>
      <c r="C28" s="32" t="s">
        <v>32</v>
      </c>
      <c r="D28" s="33">
        <v>0</v>
      </c>
      <c r="E28" s="35">
        <v>2.0833333333333332E-2</v>
      </c>
      <c r="F28" s="34">
        <v>30</v>
      </c>
      <c r="G28" s="33">
        <v>0.16666666666666666</v>
      </c>
      <c r="H28" s="36">
        <v>210</v>
      </c>
      <c r="I28" s="37">
        <v>0.1701388888888889</v>
      </c>
      <c r="J28" s="4">
        <v>5</v>
      </c>
      <c r="K28" s="7"/>
      <c r="L28" s="38">
        <v>0</v>
      </c>
      <c r="M28" s="39">
        <v>1.8055555555555554E-2</v>
      </c>
      <c r="N28" s="33">
        <v>0.10972222222222222</v>
      </c>
      <c r="O28" s="33">
        <v>0.11180555555555556</v>
      </c>
      <c r="P28" s="7"/>
      <c r="Q28" s="13">
        <f t="shared" si="47"/>
        <v>25.999999999999996</v>
      </c>
      <c r="R28" s="13">
        <f t="shared" si="17"/>
        <v>132</v>
      </c>
      <c r="S28" s="40">
        <f t="shared" si="7"/>
        <v>0</v>
      </c>
      <c r="T28" s="4">
        <f t="shared" si="18"/>
        <v>-4.0000000000000009</v>
      </c>
      <c r="U28" s="4">
        <f t="shared" si="19"/>
        <v>-81.999999999999986</v>
      </c>
      <c r="V28" s="4">
        <f t="shared" si="20"/>
        <v>-78</v>
      </c>
      <c r="W28" s="4">
        <f t="shared" si="11"/>
        <v>-84</v>
      </c>
      <c r="X28" s="13">
        <f t="shared" si="21"/>
        <v>3.0000000000000093</v>
      </c>
      <c r="Y28" s="15">
        <f t="shared" si="22"/>
        <v>81.999999999999986</v>
      </c>
      <c r="AB28" s="18">
        <v>0</v>
      </c>
      <c r="AC28" s="19">
        <f t="shared" si="40"/>
        <v>30</v>
      </c>
      <c r="AD28" s="19">
        <v>210</v>
      </c>
      <c r="AE28" s="19">
        <f t="shared" si="41"/>
        <v>240</v>
      </c>
      <c r="AF28" s="20">
        <f t="shared" si="42"/>
        <v>0</v>
      </c>
      <c r="AG28" s="19">
        <f t="shared" si="43"/>
        <v>26</v>
      </c>
      <c r="AH28" s="19">
        <f t="shared" si="44"/>
        <v>158</v>
      </c>
      <c r="AI28" s="19">
        <f t="shared" si="23"/>
        <v>129</v>
      </c>
      <c r="AJ28" s="19">
        <f t="shared" si="45"/>
        <v>161</v>
      </c>
      <c r="AK28" s="19">
        <f t="shared" si="46"/>
        <v>257</v>
      </c>
    </row>
    <row r="29" spans="1:37">
      <c r="A29" s="30">
        <v>45744</v>
      </c>
      <c r="B29" s="31">
        <v>45836</v>
      </c>
      <c r="C29" s="32" t="s">
        <v>32</v>
      </c>
      <c r="D29" s="33">
        <v>0</v>
      </c>
      <c r="E29" s="35">
        <v>2.0833333333333332E-2</v>
      </c>
      <c r="F29" s="34">
        <v>30</v>
      </c>
      <c r="G29" s="33">
        <v>0.16666666666666666</v>
      </c>
      <c r="H29" s="36">
        <v>210</v>
      </c>
      <c r="I29" s="37">
        <v>0.1701388888888889</v>
      </c>
      <c r="J29" s="4">
        <v>5</v>
      </c>
      <c r="K29" s="7"/>
      <c r="L29" s="38">
        <v>2.7777777777777779E-3</v>
      </c>
      <c r="M29" s="39">
        <v>2.2222222222222223E-2</v>
      </c>
      <c r="N29" s="33">
        <v>0.1111111111111111</v>
      </c>
      <c r="O29" s="33">
        <v>0.11319444444444444</v>
      </c>
      <c r="P29" s="7"/>
      <c r="Q29" s="13">
        <f t="shared" si="47"/>
        <v>28</v>
      </c>
      <c r="R29" s="13">
        <f t="shared" si="17"/>
        <v>127.99999999999999</v>
      </c>
      <c r="S29" s="40">
        <f t="shared" si="7"/>
        <v>4</v>
      </c>
      <c r="T29" s="4">
        <f t="shared" si="18"/>
        <v>2.0000000000000027</v>
      </c>
      <c r="U29" s="4">
        <f t="shared" si="19"/>
        <v>-80</v>
      </c>
      <c r="V29" s="4">
        <f t="shared" si="20"/>
        <v>-78.000000000000014</v>
      </c>
      <c r="W29" s="4">
        <f t="shared" si="11"/>
        <v>-82.000000000000014</v>
      </c>
      <c r="X29" s="13">
        <f t="shared" si="21"/>
        <v>3.0000000000000093</v>
      </c>
      <c r="Y29" s="15">
        <f t="shared" si="22"/>
        <v>84</v>
      </c>
      <c r="AB29" s="18">
        <v>0</v>
      </c>
      <c r="AC29" s="19">
        <f t="shared" si="40"/>
        <v>30</v>
      </c>
      <c r="AD29" s="19">
        <v>210</v>
      </c>
      <c r="AE29" s="19">
        <f t="shared" si="41"/>
        <v>240</v>
      </c>
      <c r="AF29" s="20">
        <f t="shared" si="42"/>
        <v>4</v>
      </c>
      <c r="AG29" s="19">
        <f t="shared" si="43"/>
        <v>32</v>
      </c>
      <c r="AH29" s="19">
        <f t="shared" si="44"/>
        <v>160</v>
      </c>
      <c r="AI29" s="19">
        <f t="shared" si="23"/>
        <v>130</v>
      </c>
      <c r="AJ29" s="19">
        <f t="shared" si="45"/>
        <v>163</v>
      </c>
      <c r="AK29" s="19">
        <f t="shared" si="46"/>
        <v>259</v>
      </c>
    </row>
    <row r="30" spans="1:37">
      <c r="A30" s="30">
        <v>45745</v>
      </c>
      <c r="B30" s="31">
        <v>45837</v>
      </c>
      <c r="C30" s="32" t="s">
        <v>32</v>
      </c>
      <c r="D30" s="33">
        <v>0</v>
      </c>
      <c r="E30" s="35">
        <v>2.0833333333333332E-2</v>
      </c>
      <c r="F30" s="34">
        <v>30</v>
      </c>
      <c r="G30" s="33">
        <v>0.16666666666666666</v>
      </c>
      <c r="H30" s="36">
        <v>210</v>
      </c>
      <c r="I30" s="37">
        <v>0.1701388888888889</v>
      </c>
      <c r="J30" s="4">
        <v>5</v>
      </c>
      <c r="K30" s="7"/>
      <c r="L30" s="38">
        <v>6.9444444444444441E-3</v>
      </c>
      <c r="M30" s="39">
        <v>2.6388888888888889E-2</v>
      </c>
      <c r="N30" s="33">
        <v>0.11180555555555556</v>
      </c>
      <c r="O30" s="33">
        <v>0.11388888888888889</v>
      </c>
      <c r="P30" s="7"/>
      <c r="Q30" s="13">
        <f t="shared" si="47"/>
        <v>28</v>
      </c>
      <c r="R30" s="13">
        <f t="shared" si="17"/>
        <v>123</v>
      </c>
      <c r="S30" s="40">
        <f t="shared" si="7"/>
        <v>10</v>
      </c>
      <c r="T30" s="4">
        <f t="shared" si="18"/>
        <v>8.0000000000000018</v>
      </c>
      <c r="U30" s="4">
        <f t="shared" si="19"/>
        <v>-78.999999999999986</v>
      </c>
      <c r="V30" s="4">
        <f t="shared" si="20"/>
        <v>-77</v>
      </c>
      <c r="W30" s="4">
        <f t="shared" si="11"/>
        <v>-81.000000000000014</v>
      </c>
      <c r="X30" s="13">
        <f t="shared" si="21"/>
        <v>2.9999999999999893</v>
      </c>
      <c r="Y30" s="15">
        <f t="shared" si="22"/>
        <v>88.999999999999986</v>
      </c>
      <c r="AB30" s="18">
        <v>0</v>
      </c>
      <c r="AC30" s="19">
        <f t="shared" si="40"/>
        <v>30</v>
      </c>
      <c r="AD30" s="19">
        <v>210</v>
      </c>
      <c r="AE30" s="19">
        <f t="shared" si="41"/>
        <v>240</v>
      </c>
      <c r="AF30" s="20">
        <f t="shared" si="42"/>
        <v>10</v>
      </c>
      <c r="AG30" s="19">
        <f t="shared" si="43"/>
        <v>38</v>
      </c>
      <c r="AH30" s="19">
        <f t="shared" si="44"/>
        <v>161</v>
      </c>
      <c r="AI30" s="19">
        <f t="shared" si="23"/>
        <v>130.5</v>
      </c>
      <c r="AJ30" s="19">
        <f t="shared" si="45"/>
        <v>164</v>
      </c>
      <c r="AK30" s="19">
        <f t="shared" si="46"/>
        <v>264</v>
      </c>
    </row>
    <row r="31" spans="1:37">
      <c r="A31" s="30">
        <v>45746</v>
      </c>
      <c r="B31" s="31">
        <v>45838</v>
      </c>
      <c r="C31" s="32" t="s">
        <v>32</v>
      </c>
      <c r="D31" s="33">
        <v>0</v>
      </c>
      <c r="E31" s="35">
        <v>2.0833333333333332E-2</v>
      </c>
      <c r="F31" s="34">
        <v>30</v>
      </c>
      <c r="G31" s="33">
        <v>0.16666666666666666</v>
      </c>
      <c r="H31" s="36">
        <v>210</v>
      </c>
      <c r="I31" s="37">
        <v>0.1701388888888889</v>
      </c>
      <c r="J31" s="4">
        <v>5</v>
      </c>
      <c r="K31" s="7"/>
      <c r="L31" s="38">
        <v>0.99861111111111112</v>
      </c>
      <c r="M31" s="39">
        <v>1.8749999999999999E-2</v>
      </c>
      <c r="N31" s="33">
        <v>0.10416666666666667</v>
      </c>
      <c r="O31" s="33">
        <v>0.10625</v>
      </c>
      <c r="P31" s="7"/>
      <c r="Q31" s="13">
        <f t="shared" si="47"/>
        <v>-29</v>
      </c>
      <c r="R31" s="13">
        <f t="shared" si="17"/>
        <v>123</v>
      </c>
      <c r="S31" s="40">
        <f t="shared" si="7"/>
        <v>-2</v>
      </c>
      <c r="T31" s="4">
        <f t="shared" si="18"/>
        <v>-2.9999999999999991</v>
      </c>
      <c r="U31" s="4">
        <f t="shared" si="19"/>
        <v>-89.999999999999986</v>
      </c>
      <c r="V31" s="4">
        <f t="shared" si="20"/>
        <v>-89</v>
      </c>
      <c r="W31" s="4">
        <f t="shared" si="11"/>
        <v>-92.000000000000014</v>
      </c>
      <c r="X31" s="13">
        <f t="shared" si="21"/>
        <v>2.9999999999999893</v>
      </c>
      <c r="Y31" s="15">
        <f t="shared" si="22"/>
        <v>87.999999999999986</v>
      </c>
      <c r="AB31" s="18">
        <v>0</v>
      </c>
      <c r="AC31" s="19">
        <f t="shared" si="40"/>
        <v>30</v>
      </c>
      <c r="AD31" s="19">
        <v>210</v>
      </c>
      <c r="AE31" s="19">
        <f t="shared" si="41"/>
        <v>240</v>
      </c>
      <c r="AF31" s="20">
        <f t="shared" si="42"/>
        <v>-2</v>
      </c>
      <c r="AG31" s="19">
        <f t="shared" si="43"/>
        <v>27</v>
      </c>
      <c r="AH31" s="19">
        <f t="shared" si="44"/>
        <v>150</v>
      </c>
      <c r="AI31" s="19">
        <f t="shared" si="23"/>
        <v>125</v>
      </c>
      <c r="AJ31" s="19">
        <f t="shared" si="45"/>
        <v>153</v>
      </c>
      <c r="AK31" s="19">
        <f t="shared" si="46"/>
        <v>263</v>
      </c>
    </row>
    <row r="32" spans="1:37">
      <c r="A32" s="30"/>
      <c r="B32" s="31"/>
      <c r="C32" s="32"/>
      <c r="D32" s="33"/>
      <c r="E32" s="35"/>
      <c r="F32" s="34"/>
      <c r="G32" s="33"/>
      <c r="H32" s="36"/>
      <c r="I32" s="37"/>
      <c r="J32" s="4"/>
      <c r="K32" s="7"/>
      <c r="L32" s="38"/>
      <c r="M32" s="39"/>
      <c r="N32" s="33"/>
      <c r="O32" s="33"/>
      <c r="P32" s="7"/>
      <c r="Q32" s="13"/>
      <c r="R32" s="13"/>
      <c r="S32" s="40"/>
      <c r="T32" s="4"/>
      <c r="U32" s="4"/>
      <c r="V32" s="4"/>
      <c r="W32" s="4"/>
      <c r="X32" s="13"/>
      <c r="Y32" s="15"/>
      <c r="AB32" s="18"/>
      <c r="AC32" s="19"/>
      <c r="AD32" s="19"/>
      <c r="AE32" s="19"/>
      <c r="AF32" s="20"/>
      <c r="AG32" s="19"/>
      <c r="AH32" s="19"/>
      <c r="AI32" s="19"/>
      <c r="AJ32" s="19"/>
      <c r="AK32" s="19"/>
    </row>
    <row r="33" spans="4:37">
      <c r="K33" s="7"/>
      <c r="AB33" s="150" t="s">
        <v>30</v>
      </c>
      <c r="AC33" s="150"/>
      <c r="AD33" s="150"/>
      <c r="AE33" s="150"/>
      <c r="AF33" s="150"/>
      <c r="AG33" s="150"/>
      <c r="AH33" s="150"/>
      <c r="AI33" s="150"/>
      <c r="AJ33" s="150"/>
      <c r="AK33" s="150"/>
    </row>
    <row r="34" spans="4:37">
      <c r="K34" s="7"/>
      <c r="L34" s="5">
        <f>AVERAGE(L2:L32)</f>
        <v>0.47481481481481497</v>
      </c>
      <c r="M34" s="5">
        <f>AVERAGE(M2:M32)</f>
        <v>2.7106481481481495E-2</v>
      </c>
      <c r="N34" s="5">
        <f>AVERAGE(N2:N32)</f>
        <v>0.11310185185185186</v>
      </c>
      <c r="O34" s="5">
        <f>AVERAGE(O2:O32)</f>
        <v>0.11539351851851852</v>
      </c>
      <c r="Q34" s="14">
        <f t="shared" ref="Q34:X34" si="48">AVERAGE(Q2:Q32)</f>
        <v>-0.16666666666666666</v>
      </c>
      <c r="R34" s="14">
        <f>AVERAGE(R2:R32)</f>
        <v>123.83333333333333</v>
      </c>
      <c r="S34" s="16">
        <f>AVERAGE(S2:S32)</f>
        <v>11.733333333333333</v>
      </c>
      <c r="T34" s="16">
        <f t="shared" si="48"/>
        <v>9.033333333333335</v>
      </c>
      <c r="U34" s="16">
        <f t="shared" si="48"/>
        <v>-77.13333333333334</v>
      </c>
      <c r="V34" s="16">
        <f t="shared" si="48"/>
        <v>-74.433333333333337</v>
      </c>
      <c r="W34" s="16">
        <f t="shared" si="48"/>
        <v>-78.833333333333329</v>
      </c>
      <c r="X34" s="16">
        <f t="shared" si="48"/>
        <v>3.2999999999999963</v>
      </c>
      <c r="Y34" s="14">
        <f>AVERAGE(Y2:Y32)</f>
        <v>88.86666666666666</v>
      </c>
      <c r="AI34" s="14">
        <f>AVERAGE(AI2:AI32)</f>
        <v>131.43333333333334</v>
      </c>
    </row>
    <row r="35" spans="4:37">
      <c r="L35" s="2">
        <f>AVERAGE(L2:L20,L22:L29,L32)</f>
        <v>0.45339506172839522</v>
      </c>
    </row>
    <row r="36" spans="4:37">
      <c r="L36" s="2">
        <v>6.9444444444444447E-4</v>
      </c>
    </row>
    <row r="37" spans="4:37">
      <c r="D37" s="2"/>
      <c r="L37" s="2">
        <v>4.1666666666666666E-3</v>
      </c>
    </row>
    <row r="38" spans="4:37">
      <c r="D38" s="2"/>
      <c r="L38" s="2">
        <v>6.9444444444444447E-4</v>
      </c>
    </row>
    <row r="39" spans="4:37">
      <c r="D39" s="2"/>
    </row>
    <row r="40" spans="4:37">
      <c r="D40" s="2"/>
    </row>
    <row r="41" spans="4:37">
      <c r="D41" s="2"/>
    </row>
    <row r="42" spans="4:37">
      <c r="D42" s="2"/>
    </row>
    <row r="43" spans="4:37">
      <c r="D43" s="2"/>
    </row>
    <row r="44" spans="4:37">
      <c r="D44" s="2"/>
    </row>
    <row r="45" spans="4:37">
      <c r="D45" s="2"/>
    </row>
    <row r="46" spans="4:37">
      <c r="D46" s="2"/>
    </row>
    <row r="47" spans="4:37">
      <c r="D47" s="2"/>
    </row>
    <row r="48" spans="4:37">
      <c r="D48" s="2"/>
    </row>
    <row r="49" spans="4:4">
      <c r="D49" s="2"/>
    </row>
  </sheetData>
  <autoFilter ref="B1:U1" xr:uid="{00000000-0001-0000-0000-000000000000}"/>
  <mergeCells count="1">
    <mergeCell ref="AB33:AK33"/>
  </mergeCells>
  <phoneticPr fontId="19" type="noConversion"/>
  <conditionalFormatting sqref="Q2:Q32">
    <cfRule type="cellIs" dxfId="94" priority="7" operator="greaterThan">
      <formula>$F$2</formula>
    </cfRule>
    <cfRule type="cellIs" dxfId="93" priority="8" operator="lessThanOrEqual">
      <formula>$F$2</formula>
    </cfRule>
  </conditionalFormatting>
  <conditionalFormatting sqref="R2:R32">
    <cfRule type="cellIs" dxfId="92" priority="3" operator="greaterThan">
      <formula>$H$2</formula>
    </cfRule>
    <cfRule type="cellIs" dxfId="91" priority="4" operator="lessThanOrEqual">
      <formula>$H$2</formula>
    </cfRule>
  </conditionalFormatting>
  <conditionalFormatting sqref="X2:X32">
    <cfRule type="cellIs" dxfId="90" priority="1" operator="greaterThan">
      <formula>6</formula>
    </cfRule>
  </conditionalFormatting>
  <conditionalFormatting sqref="Y2:Y32">
    <cfRule type="cellIs" dxfId="89" priority="2" operator="lessThanOrEqual">
      <formula>0</formula>
    </cfRule>
  </conditionalFormatting>
  <pageMargins left="0.7" right="0.7" top="0.75" bottom="0.75" header="0.3" footer="0.3"/>
  <pageSetup orientation="portrait" horizontalDpi="1200" verticalDpi="1200" r:id="rId1"/>
  <ignoredErrors>
    <ignoredError sqref="U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75FB-B6AF-4DB5-B5C5-C242262F2A41}">
  <dimension ref="A1:AV47"/>
  <sheetViews>
    <sheetView showGridLines="0" topLeftCell="Q1" workbookViewId="0">
      <pane ySplit="1" topLeftCell="A18" activePane="bottomLeft" state="frozen"/>
      <selection pane="bottomLeft" activeCell="AD2" sqref="AD2:AD30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58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12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41</v>
      </c>
      <c r="AV1" s="44" t="s">
        <v>42</v>
      </c>
    </row>
    <row r="2" spans="1:48">
      <c r="A2" s="30">
        <f t="shared" ref="A2:A31" si="0">B2</f>
        <v>45809</v>
      </c>
      <c r="B2" s="31">
        <v>45809</v>
      </c>
      <c r="C2" s="32" t="s">
        <v>43</v>
      </c>
      <c r="D2" s="33">
        <v>0</v>
      </c>
      <c r="E2" s="35">
        <f>(D2+(TIME(0,F2,0)))</f>
        <v>2.0833333333333332E-2</v>
      </c>
      <c r="F2" s="34">
        <v>30</v>
      </c>
      <c r="G2" s="33">
        <v>0.16666666666666666</v>
      </c>
      <c r="H2" s="36">
        <f>((G2-D2)*1440)-F2</f>
        <v>210</v>
      </c>
      <c r="I2" s="37">
        <f>(N2+(TIME(0,J2,0)))</f>
        <v>0.15138888888888888</v>
      </c>
      <c r="J2" s="4">
        <v>5</v>
      </c>
      <c r="K2" s="7"/>
      <c r="L2" s="2">
        <v>4.7222222222222221E-2</v>
      </c>
      <c r="M2" s="45">
        <v>5.9027777777777776E-2</v>
      </c>
      <c r="N2" s="46">
        <v>0.14791666666666667</v>
      </c>
      <c r="O2" s="45">
        <v>0.15063657407407408</v>
      </c>
      <c r="P2" s="47">
        <v>1.9020999999999999</v>
      </c>
      <c r="Q2" t="s">
        <v>44</v>
      </c>
      <c r="R2" t="s">
        <v>45</v>
      </c>
      <c r="S2" t="s">
        <v>45</v>
      </c>
      <c r="T2" t="s">
        <v>45</v>
      </c>
      <c r="U2" s="7"/>
      <c r="V2" s="13">
        <f>((M2-L2)*1440)</f>
        <v>17</v>
      </c>
      <c r="W2" s="13">
        <f>((N2-M2)*1440)</f>
        <v>128</v>
      </c>
      <c r="X2" s="40">
        <f>((L2-D2)*1440)</f>
        <v>68</v>
      </c>
      <c r="Y2" s="4">
        <f>((M2-E2)*1440)</f>
        <v>55.000000000000007</v>
      </c>
      <c r="Z2" s="4">
        <f t="shared" ref="Z2:Z31" si="1">((N2-G2)*1440)</f>
        <v>-26.999999999999986</v>
      </c>
      <c r="AA2" s="4">
        <f t="shared" ref="AA2:AA31" si="2">W2-(H2-X2)</f>
        <v>-14</v>
      </c>
      <c r="AB2" s="4">
        <f t="shared" ref="AB2:AB31" si="3">((O2-G2)*1440)</f>
        <v>-23.083333333333318</v>
      </c>
      <c r="AC2" s="13">
        <f t="shared" ref="AC2:AC31" si="4">ROUND((O2-N2)*1440,0)</f>
        <v>4</v>
      </c>
      <c r="AD2" s="15">
        <f t="shared" ref="AD2:AD31" si="5">(Z2*-1)+X2</f>
        <v>94.999999999999986</v>
      </c>
      <c r="AG2" s="18">
        <v>0</v>
      </c>
      <c r="AH2" s="19">
        <f t="shared" ref="AH2:AH31" si="6">AG2+F2</f>
        <v>30</v>
      </c>
      <c r="AI2" s="19">
        <f t="shared" ref="AI2:AI31" si="7">AG2+H2+AH2</f>
        <v>240</v>
      </c>
      <c r="AJ2" s="20">
        <f>AG2+X2-10</f>
        <v>58</v>
      </c>
      <c r="AK2" s="19">
        <f>AJ2</f>
        <v>58</v>
      </c>
      <c r="AL2" s="19">
        <f>AM2</f>
        <v>85</v>
      </c>
      <c r="AM2" s="19">
        <f>AH2+Y2</f>
        <v>85</v>
      </c>
      <c r="AN2" s="19">
        <f t="shared" ref="AN2:AN15" si="8">AM2+W2</f>
        <v>213</v>
      </c>
      <c r="AO2" s="19">
        <f>(AN2/2)+50</f>
        <v>156.5</v>
      </c>
      <c r="AP2" s="19">
        <f>AN2+AC2</f>
        <v>217</v>
      </c>
      <c r="AQ2" s="19">
        <f>AD2+350</f>
        <v>445</v>
      </c>
      <c r="AR2" s="47">
        <f>(P2*50)-250</f>
        <v>-154.89500000000001</v>
      </c>
      <c r="AS2">
        <f t="shared" ref="AS2:AS31" si="9">IF(Q2="Yes",-225,0)</f>
        <v>-225</v>
      </c>
      <c r="AU2">
        <f>IF(S2="Yes",-195,0)</f>
        <v>0</v>
      </c>
    </row>
    <row r="3" spans="1:48">
      <c r="A3" s="30">
        <f t="shared" si="0"/>
        <v>45810</v>
      </c>
      <c r="B3" s="31">
        <v>45810</v>
      </c>
      <c r="C3" s="32" t="s">
        <v>43</v>
      </c>
      <c r="D3" s="33">
        <v>0</v>
      </c>
      <c r="E3" s="35">
        <f t="shared" ref="E3:E31" si="10">(D3+(TIME(0,F3,0)))</f>
        <v>2.0833333333333332E-2</v>
      </c>
      <c r="F3" s="34">
        <v>30</v>
      </c>
      <c r="G3" s="33">
        <v>0.16666666666666666</v>
      </c>
      <c r="H3" s="36">
        <f t="shared" ref="H3:H31" si="11">((G3-D3)*1440)-F3</f>
        <v>210</v>
      </c>
      <c r="I3" s="37">
        <f t="shared" ref="I3:I31" si="12">(N3+(TIME(0,J3,0)))</f>
        <v>0.12986111111111109</v>
      </c>
      <c r="J3" s="4">
        <v>5</v>
      </c>
      <c r="K3" s="7"/>
      <c r="L3" s="2">
        <v>3.5416666666666666E-2</v>
      </c>
      <c r="M3" s="45">
        <v>4.5138888888888888E-2</v>
      </c>
      <c r="N3" s="46">
        <v>0.12638888888888888</v>
      </c>
      <c r="O3" s="45">
        <v>0.12940972222222222</v>
      </c>
      <c r="P3" s="47">
        <v>1.8553999999999999</v>
      </c>
      <c r="Q3" t="s">
        <v>45</v>
      </c>
      <c r="R3" t="s">
        <v>45</v>
      </c>
      <c r="S3" t="s">
        <v>45</v>
      </c>
      <c r="T3" t="s">
        <v>45</v>
      </c>
      <c r="U3" s="7"/>
      <c r="V3" s="13">
        <f t="shared" ref="V3:W31" si="13">((M3-L3)*1440)</f>
        <v>14</v>
      </c>
      <c r="W3" s="13">
        <f t="shared" si="13"/>
        <v>116.99999999999999</v>
      </c>
      <c r="X3" s="40">
        <f t="shared" ref="X3:Y31" si="14">((L3-D3)*1440)</f>
        <v>51</v>
      </c>
      <c r="Y3" s="4">
        <f t="shared" si="14"/>
        <v>35</v>
      </c>
      <c r="Z3" s="4">
        <f t="shared" si="1"/>
        <v>-57.999999999999993</v>
      </c>
      <c r="AA3" s="4">
        <f t="shared" si="2"/>
        <v>-42.000000000000014</v>
      </c>
      <c r="AB3" s="4">
        <f t="shared" si="3"/>
        <v>-53.649999999999991</v>
      </c>
      <c r="AC3" s="13">
        <f t="shared" si="4"/>
        <v>4</v>
      </c>
      <c r="AD3" s="15">
        <f t="shared" si="5"/>
        <v>109</v>
      </c>
      <c r="AG3" s="18">
        <v>0</v>
      </c>
      <c r="AH3" s="19">
        <f t="shared" si="6"/>
        <v>30</v>
      </c>
      <c r="AI3" s="19">
        <f t="shared" si="7"/>
        <v>240</v>
      </c>
      <c r="AJ3" s="20">
        <f t="shared" ref="AJ3:AJ31" si="15">AG3+X3-10</f>
        <v>41</v>
      </c>
      <c r="AK3" s="19">
        <f t="shared" ref="AK3:AK19" si="16">AJ3</f>
        <v>41</v>
      </c>
      <c r="AL3" s="19">
        <f t="shared" ref="AL3:AL31" si="17">AM3</f>
        <v>65</v>
      </c>
      <c r="AM3" s="19">
        <f t="shared" ref="AM3:AM31" si="18">AH3+Y3</f>
        <v>65</v>
      </c>
      <c r="AN3" s="19">
        <f t="shared" si="8"/>
        <v>182</v>
      </c>
      <c r="AO3" s="19">
        <f t="shared" ref="AO3:AO31" si="19">(AN3/2)+50</f>
        <v>141</v>
      </c>
      <c r="AP3" s="19">
        <f t="shared" ref="AP3:AP31" si="20">AN3+AC3</f>
        <v>186</v>
      </c>
      <c r="AQ3" s="19">
        <f t="shared" ref="AQ3:AQ31" si="21">AD3+350</f>
        <v>459</v>
      </c>
      <c r="AR3" s="47">
        <f t="shared" ref="AR3:AR31" si="22">(P3*50)-250</f>
        <v>-157.23000000000002</v>
      </c>
    </row>
    <row r="4" spans="1:48">
      <c r="A4" s="30">
        <f t="shared" si="0"/>
        <v>45811</v>
      </c>
      <c r="B4" s="31">
        <v>45811</v>
      </c>
      <c r="C4" s="32" t="s">
        <v>43</v>
      </c>
      <c r="D4" s="33">
        <v>0</v>
      </c>
      <c r="E4" s="35">
        <f t="shared" si="10"/>
        <v>2.0833333333333332E-2</v>
      </c>
      <c r="F4" s="34">
        <v>30</v>
      </c>
      <c r="G4" s="33">
        <v>0.16666666666666666</v>
      </c>
      <c r="H4" s="36">
        <f t="shared" si="11"/>
        <v>210</v>
      </c>
      <c r="I4" s="37">
        <f t="shared" si="12"/>
        <v>0.125</v>
      </c>
      <c r="J4" s="4">
        <v>5</v>
      </c>
      <c r="K4" s="7"/>
      <c r="L4" s="2">
        <v>3.6111111111111108E-2</v>
      </c>
      <c r="M4" s="45">
        <v>5.5555555555555552E-2</v>
      </c>
      <c r="N4" s="46">
        <v>0.12152777777777778</v>
      </c>
      <c r="O4" s="45">
        <v>0.12358796296296296</v>
      </c>
      <c r="P4" s="47">
        <v>1.8391999999999999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13"/>
        <v>28</v>
      </c>
      <c r="W4" s="13">
        <f t="shared" si="13"/>
        <v>95</v>
      </c>
      <c r="X4" s="40">
        <f t="shared" si="14"/>
        <v>51.999999999999993</v>
      </c>
      <c r="Y4" s="4">
        <f t="shared" si="14"/>
        <v>50</v>
      </c>
      <c r="Z4" s="4">
        <f t="shared" si="1"/>
        <v>-64.999999999999986</v>
      </c>
      <c r="AA4" s="4">
        <f t="shared" si="2"/>
        <v>-63</v>
      </c>
      <c r="AB4" s="4">
        <f t="shared" si="3"/>
        <v>-62.033333333333331</v>
      </c>
      <c r="AC4" s="13">
        <f t="shared" si="4"/>
        <v>3</v>
      </c>
      <c r="AD4" s="15">
        <f t="shared" si="5"/>
        <v>116.99999999999997</v>
      </c>
      <c r="AG4" s="18">
        <v>0</v>
      </c>
      <c r="AH4" s="19">
        <f t="shared" si="6"/>
        <v>30</v>
      </c>
      <c r="AI4" s="19">
        <f t="shared" si="7"/>
        <v>240</v>
      </c>
      <c r="AJ4" s="20">
        <f t="shared" si="15"/>
        <v>41.999999999999993</v>
      </c>
      <c r="AK4" s="19">
        <f t="shared" si="16"/>
        <v>41.999999999999993</v>
      </c>
      <c r="AL4" s="19">
        <f t="shared" si="17"/>
        <v>80</v>
      </c>
      <c r="AM4" s="19">
        <f t="shared" si="18"/>
        <v>80</v>
      </c>
      <c r="AN4" s="19">
        <f t="shared" si="8"/>
        <v>175</v>
      </c>
      <c r="AO4" s="19">
        <f t="shared" si="19"/>
        <v>137.5</v>
      </c>
      <c r="AP4" s="19">
        <f t="shared" si="20"/>
        <v>178</v>
      </c>
      <c r="AQ4" s="19">
        <f t="shared" si="21"/>
        <v>467</v>
      </c>
      <c r="AR4" s="47">
        <f t="shared" si="22"/>
        <v>-158.04000000000002</v>
      </c>
    </row>
    <row r="5" spans="1:48">
      <c r="A5" s="30">
        <f t="shared" si="0"/>
        <v>45812</v>
      </c>
      <c r="B5" s="31">
        <v>45812</v>
      </c>
      <c r="C5" s="32" t="s">
        <v>43</v>
      </c>
      <c r="D5" s="33">
        <v>0</v>
      </c>
      <c r="E5" s="35">
        <f t="shared" si="10"/>
        <v>2.0833333333333332E-2</v>
      </c>
      <c r="F5" s="34">
        <v>30</v>
      </c>
      <c r="G5" s="33">
        <v>0.16666666666666666</v>
      </c>
      <c r="H5" s="36">
        <f t="shared" si="11"/>
        <v>210</v>
      </c>
      <c r="I5" s="37">
        <f t="shared" si="12"/>
        <v>0.15625</v>
      </c>
      <c r="J5" s="4">
        <v>5</v>
      </c>
      <c r="K5" s="7"/>
      <c r="L5" s="2">
        <v>3.888888888888889E-2</v>
      </c>
      <c r="M5" s="45">
        <v>6.3194444444444442E-2</v>
      </c>
      <c r="N5" s="46">
        <v>0.15277777777777779</v>
      </c>
      <c r="O5" s="45">
        <v>0.1554976851851852</v>
      </c>
      <c r="P5" s="47">
        <v>1.8609</v>
      </c>
      <c r="Q5" t="s">
        <v>44</v>
      </c>
      <c r="R5" t="s">
        <v>45</v>
      </c>
      <c r="S5" t="s">
        <v>45</v>
      </c>
      <c r="T5" t="s">
        <v>45</v>
      </c>
      <c r="U5" s="7"/>
      <c r="V5" s="13">
        <f t="shared" si="13"/>
        <v>34.999999999999993</v>
      </c>
      <c r="W5" s="13">
        <f t="shared" si="13"/>
        <v>129.00000000000003</v>
      </c>
      <c r="X5" s="40">
        <f t="shared" si="14"/>
        <v>56</v>
      </c>
      <c r="Y5" s="4">
        <f t="shared" si="14"/>
        <v>61</v>
      </c>
      <c r="Z5" s="4">
        <f t="shared" si="1"/>
        <v>-19.999999999999968</v>
      </c>
      <c r="AA5" s="4">
        <f t="shared" si="2"/>
        <v>-24.999999999999972</v>
      </c>
      <c r="AB5" s="4">
        <f t="shared" si="3"/>
        <v>-16.083333333333304</v>
      </c>
      <c r="AC5" s="13">
        <f t="shared" si="4"/>
        <v>4</v>
      </c>
      <c r="AD5" s="15">
        <f t="shared" si="5"/>
        <v>75.999999999999972</v>
      </c>
      <c r="AG5" s="18">
        <v>0</v>
      </c>
      <c r="AH5" s="19">
        <f t="shared" si="6"/>
        <v>30</v>
      </c>
      <c r="AI5" s="19">
        <f t="shared" si="7"/>
        <v>240</v>
      </c>
      <c r="AJ5" s="20">
        <f t="shared" si="15"/>
        <v>46</v>
      </c>
      <c r="AK5" s="19">
        <f t="shared" si="16"/>
        <v>46</v>
      </c>
      <c r="AL5" s="19">
        <f t="shared" si="17"/>
        <v>91</v>
      </c>
      <c r="AM5" s="19">
        <f t="shared" si="18"/>
        <v>91</v>
      </c>
      <c r="AN5" s="19">
        <f t="shared" si="8"/>
        <v>220.00000000000003</v>
      </c>
      <c r="AO5" s="19">
        <f t="shared" si="19"/>
        <v>160</v>
      </c>
      <c r="AP5" s="19">
        <f t="shared" si="20"/>
        <v>224.00000000000003</v>
      </c>
      <c r="AQ5" s="19">
        <f t="shared" si="21"/>
        <v>426</v>
      </c>
      <c r="AR5" s="47">
        <f t="shared" si="22"/>
        <v>-156.95499999999998</v>
      </c>
      <c r="AS5">
        <f t="shared" si="9"/>
        <v>-225</v>
      </c>
    </row>
    <row r="6" spans="1:48">
      <c r="A6" s="30">
        <f t="shared" si="0"/>
        <v>45813</v>
      </c>
      <c r="B6" s="31">
        <v>45813</v>
      </c>
      <c r="C6" s="32" t="s">
        <v>43</v>
      </c>
      <c r="D6" s="33">
        <v>0</v>
      </c>
      <c r="E6" s="35">
        <f t="shared" si="10"/>
        <v>2.0833333333333332E-2</v>
      </c>
      <c r="F6" s="34">
        <v>30</v>
      </c>
      <c r="G6" s="33">
        <v>0.16666666666666666</v>
      </c>
      <c r="H6" s="36">
        <f t="shared" si="11"/>
        <v>210</v>
      </c>
      <c r="I6" s="37">
        <f t="shared" si="12"/>
        <v>0.16180555555555554</v>
      </c>
      <c r="J6" s="4">
        <v>5</v>
      </c>
      <c r="K6" s="7"/>
      <c r="L6" s="2">
        <v>3.2638888888888891E-2</v>
      </c>
      <c r="M6" s="45">
        <v>4.791666666666667E-2</v>
      </c>
      <c r="N6" s="46">
        <v>0.15833333333333333</v>
      </c>
      <c r="O6" s="45">
        <v>0.16135416666666666</v>
      </c>
      <c r="P6" s="47">
        <v>1.8605</v>
      </c>
      <c r="Q6" t="s">
        <v>45</v>
      </c>
      <c r="R6" t="s">
        <v>45</v>
      </c>
      <c r="S6" t="s">
        <v>45</v>
      </c>
      <c r="T6" t="s">
        <v>45</v>
      </c>
      <c r="U6" s="7"/>
      <c r="V6" s="13">
        <f t="shared" si="13"/>
        <v>22</v>
      </c>
      <c r="W6" s="13">
        <f t="shared" si="13"/>
        <v>159</v>
      </c>
      <c r="X6" s="40">
        <f t="shared" si="14"/>
        <v>47</v>
      </c>
      <c r="Y6" s="4">
        <f t="shared" si="14"/>
        <v>39.000000000000007</v>
      </c>
      <c r="Z6" s="4">
        <f t="shared" si="1"/>
        <v>-11.999999999999996</v>
      </c>
      <c r="AA6" s="4">
        <f t="shared" si="2"/>
        <v>-4</v>
      </c>
      <c r="AB6" s="4">
        <f t="shared" si="3"/>
        <v>-7.6499999999999968</v>
      </c>
      <c r="AC6" s="13">
        <f t="shared" si="4"/>
        <v>4</v>
      </c>
      <c r="AD6" s="15">
        <f t="shared" si="5"/>
        <v>59</v>
      </c>
      <c r="AG6" s="18">
        <v>0</v>
      </c>
      <c r="AH6" s="19">
        <f t="shared" si="6"/>
        <v>30</v>
      </c>
      <c r="AI6" s="19">
        <f t="shared" si="7"/>
        <v>240</v>
      </c>
      <c r="AJ6" s="20">
        <f t="shared" si="15"/>
        <v>37</v>
      </c>
      <c r="AK6" s="19">
        <f t="shared" si="16"/>
        <v>37</v>
      </c>
      <c r="AL6" s="19">
        <f t="shared" si="17"/>
        <v>69</v>
      </c>
      <c r="AM6" s="19">
        <f t="shared" si="18"/>
        <v>69</v>
      </c>
      <c r="AN6" s="19">
        <f t="shared" si="8"/>
        <v>228</v>
      </c>
      <c r="AO6" s="19">
        <f t="shared" si="19"/>
        <v>164</v>
      </c>
      <c r="AP6" s="19">
        <f t="shared" si="20"/>
        <v>232</v>
      </c>
      <c r="AQ6" s="19">
        <f t="shared" si="21"/>
        <v>409</v>
      </c>
      <c r="AR6" s="47">
        <f t="shared" si="22"/>
        <v>-156.97499999999999</v>
      </c>
      <c r="AS6">
        <f t="shared" si="9"/>
        <v>0</v>
      </c>
      <c r="AT6">
        <f t="shared" ref="AT6:AT20" si="23">IF(R6="Yes",-210,0)</f>
        <v>0</v>
      </c>
    </row>
    <row r="7" spans="1:48">
      <c r="A7" s="30">
        <f t="shared" si="0"/>
        <v>45814</v>
      </c>
      <c r="B7" s="31">
        <v>45814</v>
      </c>
      <c r="C7" s="32" t="s">
        <v>43</v>
      </c>
      <c r="D7" s="33">
        <v>0</v>
      </c>
      <c r="E7" s="35">
        <f t="shared" si="10"/>
        <v>2.0833333333333332E-2</v>
      </c>
      <c r="F7" s="34">
        <v>30</v>
      </c>
      <c r="G7" s="33">
        <v>0.16666666666666666</v>
      </c>
      <c r="H7" s="36">
        <f t="shared" si="11"/>
        <v>210</v>
      </c>
      <c r="I7" s="37">
        <f t="shared" si="12"/>
        <v>0.15694444444444444</v>
      </c>
      <c r="J7" s="4">
        <v>5</v>
      </c>
      <c r="K7" s="7"/>
      <c r="L7" s="2">
        <v>3.5416666666666666E-2</v>
      </c>
      <c r="M7" s="45">
        <v>4.583333333333333E-2</v>
      </c>
      <c r="N7" s="46">
        <v>0.15347222222222223</v>
      </c>
      <c r="O7" s="45">
        <v>0.15649305555555557</v>
      </c>
      <c r="P7" s="47">
        <v>1.8692</v>
      </c>
      <c r="Q7" t="s">
        <v>45</v>
      </c>
      <c r="R7" t="s">
        <v>45</v>
      </c>
      <c r="S7" t="s">
        <v>45</v>
      </c>
      <c r="T7" t="s">
        <v>45</v>
      </c>
      <c r="U7" s="7"/>
      <c r="V7" s="13">
        <f t="shared" si="13"/>
        <v>14.999999999999996</v>
      </c>
      <c r="W7" s="13">
        <f t="shared" si="13"/>
        <v>155</v>
      </c>
      <c r="X7" s="40">
        <f t="shared" si="14"/>
        <v>51</v>
      </c>
      <c r="Y7" s="4">
        <f t="shared" si="14"/>
        <v>36</v>
      </c>
      <c r="Z7" s="4">
        <f t="shared" si="1"/>
        <v>-18.999999999999972</v>
      </c>
      <c r="AA7" s="4">
        <f t="shared" si="2"/>
        <v>-4</v>
      </c>
      <c r="AB7" s="4">
        <f t="shared" si="3"/>
        <v>-14.649999999999972</v>
      </c>
      <c r="AC7" s="13">
        <f t="shared" si="4"/>
        <v>4</v>
      </c>
      <c r="AD7" s="15">
        <f t="shared" si="5"/>
        <v>69.999999999999972</v>
      </c>
      <c r="AG7" s="18">
        <v>0</v>
      </c>
      <c r="AH7" s="19">
        <f t="shared" si="6"/>
        <v>30</v>
      </c>
      <c r="AI7" s="19">
        <f t="shared" si="7"/>
        <v>240</v>
      </c>
      <c r="AJ7" s="20">
        <f t="shared" si="15"/>
        <v>41</v>
      </c>
      <c r="AK7" s="19">
        <f t="shared" si="16"/>
        <v>41</v>
      </c>
      <c r="AL7" s="19">
        <f t="shared" si="17"/>
        <v>66</v>
      </c>
      <c r="AM7" s="19">
        <f t="shared" si="18"/>
        <v>66</v>
      </c>
      <c r="AN7" s="19">
        <f t="shared" si="8"/>
        <v>221</v>
      </c>
      <c r="AO7" s="19">
        <f t="shared" si="19"/>
        <v>160.5</v>
      </c>
      <c r="AP7" s="19">
        <f t="shared" si="20"/>
        <v>225</v>
      </c>
      <c r="AQ7" s="19">
        <f t="shared" si="21"/>
        <v>420</v>
      </c>
      <c r="AR7" s="47">
        <f t="shared" si="22"/>
        <v>-156.54000000000002</v>
      </c>
    </row>
    <row r="8" spans="1:48">
      <c r="A8" s="30">
        <f t="shared" si="0"/>
        <v>45815</v>
      </c>
      <c r="B8" s="31">
        <v>45815</v>
      </c>
      <c r="C8" s="32" t="s">
        <v>43</v>
      </c>
      <c r="D8" s="33">
        <v>0</v>
      </c>
      <c r="E8" s="35">
        <f t="shared" si="10"/>
        <v>2.0833333333333332E-2</v>
      </c>
      <c r="F8" s="34">
        <v>30</v>
      </c>
      <c r="G8" s="33">
        <v>0.16666666666666666</v>
      </c>
      <c r="H8" s="36">
        <f t="shared" si="11"/>
        <v>210</v>
      </c>
      <c r="I8" s="37">
        <f t="shared" si="12"/>
        <v>0.13888888888888887</v>
      </c>
      <c r="J8" s="4">
        <v>5</v>
      </c>
      <c r="K8" s="7"/>
      <c r="L8" s="2">
        <v>3.4027777777777775E-2</v>
      </c>
      <c r="M8" s="45">
        <v>0.05</v>
      </c>
      <c r="N8" s="46">
        <v>0.13541666666666666</v>
      </c>
      <c r="O8" s="45">
        <v>0.13843749999999999</v>
      </c>
      <c r="P8" s="47">
        <v>1.8634999999999999</v>
      </c>
      <c r="Q8" t="s">
        <v>44</v>
      </c>
      <c r="R8" t="s">
        <v>45</v>
      </c>
      <c r="S8" t="s">
        <v>45</v>
      </c>
      <c r="T8" t="s">
        <v>45</v>
      </c>
      <c r="U8" s="7"/>
      <c r="V8" s="13">
        <f t="shared" si="13"/>
        <v>23.000000000000007</v>
      </c>
      <c r="W8" s="13">
        <f t="shared" si="13"/>
        <v>122.99999999999999</v>
      </c>
      <c r="X8" s="40">
        <f t="shared" si="14"/>
        <v>48.999999999999993</v>
      </c>
      <c r="Y8" s="4">
        <f t="shared" si="14"/>
        <v>42.000000000000007</v>
      </c>
      <c r="Z8" s="4">
        <f t="shared" si="1"/>
        <v>-45</v>
      </c>
      <c r="AA8" s="4">
        <f t="shared" si="2"/>
        <v>-38.000000000000014</v>
      </c>
      <c r="AB8" s="4">
        <f t="shared" si="3"/>
        <v>-40.65</v>
      </c>
      <c r="AC8" s="13">
        <f t="shared" si="4"/>
        <v>4</v>
      </c>
      <c r="AD8" s="15">
        <f t="shared" si="5"/>
        <v>94</v>
      </c>
      <c r="AG8" s="18">
        <v>0</v>
      </c>
      <c r="AH8" s="19">
        <f t="shared" si="6"/>
        <v>30</v>
      </c>
      <c r="AI8" s="19">
        <f t="shared" si="7"/>
        <v>240</v>
      </c>
      <c r="AJ8" s="20">
        <f t="shared" si="15"/>
        <v>38.999999999999993</v>
      </c>
      <c r="AK8" s="19">
        <f t="shared" si="16"/>
        <v>38.999999999999993</v>
      </c>
      <c r="AL8" s="19">
        <f t="shared" si="17"/>
        <v>72</v>
      </c>
      <c r="AM8" s="19">
        <f t="shared" si="18"/>
        <v>72</v>
      </c>
      <c r="AN8" s="19">
        <f t="shared" si="8"/>
        <v>195</v>
      </c>
      <c r="AO8" s="19">
        <f t="shared" si="19"/>
        <v>147.5</v>
      </c>
      <c r="AP8" s="19">
        <f t="shared" si="20"/>
        <v>199</v>
      </c>
      <c r="AQ8" s="19">
        <f t="shared" si="21"/>
        <v>444</v>
      </c>
      <c r="AR8" s="47">
        <f t="shared" si="22"/>
        <v>-156.82499999999999</v>
      </c>
      <c r="AU8">
        <f t="shared" ref="AU8" si="24">IF(S8="Yes",-195,0)</f>
        <v>0</v>
      </c>
    </row>
    <row r="9" spans="1:48">
      <c r="A9" s="30">
        <f t="shared" si="0"/>
        <v>45816</v>
      </c>
      <c r="B9" s="31">
        <v>45816</v>
      </c>
      <c r="C9" s="32" t="s">
        <v>43</v>
      </c>
      <c r="D9" s="33">
        <v>0</v>
      </c>
      <c r="E9" s="35">
        <f t="shared" si="10"/>
        <v>2.0833333333333332E-2</v>
      </c>
      <c r="F9" s="34">
        <v>30</v>
      </c>
      <c r="G9" s="33">
        <v>0.16666666666666666</v>
      </c>
      <c r="H9" s="36">
        <f t="shared" si="11"/>
        <v>210</v>
      </c>
      <c r="I9" s="37">
        <f t="shared" si="12"/>
        <v>0.16597222222222222</v>
      </c>
      <c r="J9" s="4">
        <v>5</v>
      </c>
      <c r="K9" s="7"/>
      <c r="L9" s="2">
        <v>4.3055555555555555E-2</v>
      </c>
      <c r="M9" s="45">
        <v>5.8333333333333334E-2</v>
      </c>
      <c r="N9" s="46">
        <v>0.16250000000000001</v>
      </c>
      <c r="O9" s="45">
        <v>0.16552083333333334</v>
      </c>
      <c r="P9" s="47">
        <v>1.9125000000000001</v>
      </c>
      <c r="Q9" t="s">
        <v>44</v>
      </c>
      <c r="R9" t="s">
        <v>45</v>
      </c>
      <c r="S9" t="s">
        <v>45</v>
      </c>
      <c r="T9" t="s">
        <v>45</v>
      </c>
      <c r="U9" s="7"/>
      <c r="V9" s="13">
        <f t="shared" si="13"/>
        <v>22</v>
      </c>
      <c r="W9" s="13">
        <f t="shared" si="13"/>
        <v>150</v>
      </c>
      <c r="X9" s="40">
        <f t="shared" si="14"/>
        <v>62</v>
      </c>
      <c r="Y9" s="4">
        <f t="shared" si="14"/>
        <v>54.000000000000007</v>
      </c>
      <c r="Z9" s="4">
        <f t="shared" si="1"/>
        <v>-5.9999999999999787</v>
      </c>
      <c r="AA9" s="4">
        <f t="shared" si="2"/>
        <v>2</v>
      </c>
      <c r="AB9" s="4">
        <f t="shared" si="3"/>
        <v>-1.6499999999999782</v>
      </c>
      <c r="AC9" s="13">
        <f t="shared" si="4"/>
        <v>4</v>
      </c>
      <c r="AD9" s="15">
        <f t="shared" si="5"/>
        <v>67.999999999999972</v>
      </c>
      <c r="AG9" s="18">
        <v>0</v>
      </c>
      <c r="AH9" s="19">
        <f t="shared" si="6"/>
        <v>30</v>
      </c>
      <c r="AI9" s="19">
        <f t="shared" si="7"/>
        <v>240</v>
      </c>
      <c r="AJ9" s="20">
        <f t="shared" si="15"/>
        <v>52</v>
      </c>
      <c r="AK9" s="19">
        <f t="shared" si="16"/>
        <v>52</v>
      </c>
      <c r="AL9" s="19">
        <f t="shared" si="17"/>
        <v>84</v>
      </c>
      <c r="AM9" s="19">
        <f t="shared" si="18"/>
        <v>84</v>
      </c>
      <c r="AN9" s="19">
        <f t="shared" si="8"/>
        <v>234</v>
      </c>
      <c r="AO9" s="19">
        <f t="shared" si="19"/>
        <v>167</v>
      </c>
      <c r="AP9" s="19">
        <f t="shared" si="20"/>
        <v>238</v>
      </c>
      <c r="AQ9" s="19">
        <f t="shared" si="21"/>
        <v>418</v>
      </c>
      <c r="AR9" s="47">
        <f t="shared" si="22"/>
        <v>-154.375</v>
      </c>
    </row>
    <row r="10" spans="1:48">
      <c r="A10" s="30">
        <f t="shared" si="0"/>
        <v>45817</v>
      </c>
      <c r="B10" s="31">
        <v>45817</v>
      </c>
      <c r="C10" s="32" t="s">
        <v>43</v>
      </c>
      <c r="D10" s="33">
        <v>0</v>
      </c>
      <c r="E10" s="35">
        <f t="shared" si="10"/>
        <v>2.0833333333333332E-2</v>
      </c>
      <c r="F10" s="34">
        <v>30</v>
      </c>
      <c r="G10" s="33">
        <v>0.16666666666666666</v>
      </c>
      <c r="H10" s="36">
        <f t="shared" si="11"/>
        <v>210</v>
      </c>
      <c r="I10" s="37">
        <f t="shared" si="12"/>
        <v>0.1472222222222222</v>
      </c>
      <c r="J10" s="4">
        <v>5</v>
      </c>
      <c r="K10" s="7"/>
      <c r="L10" s="2">
        <v>4.4444444444444446E-2</v>
      </c>
      <c r="M10" s="45">
        <v>5.4166666666666669E-2</v>
      </c>
      <c r="N10" s="46">
        <v>0.14374999999999999</v>
      </c>
      <c r="O10" s="45">
        <v>0.14677083333333332</v>
      </c>
      <c r="P10" s="47">
        <v>1.8653999999999999</v>
      </c>
      <c r="Q10" t="s">
        <v>44</v>
      </c>
      <c r="R10" t="s">
        <v>45</v>
      </c>
      <c r="S10" t="s">
        <v>45</v>
      </c>
      <c r="T10" t="s">
        <v>45</v>
      </c>
      <c r="U10" s="7"/>
      <c r="V10" s="13">
        <f t="shared" si="13"/>
        <v>14</v>
      </c>
      <c r="W10" s="13">
        <f t="shared" si="13"/>
        <v>128.99999999999997</v>
      </c>
      <c r="X10" s="40">
        <f t="shared" si="14"/>
        <v>64</v>
      </c>
      <c r="Y10" s="4">
        <f t="shared" si="14"/>
        <v>48.000000000000007</v>
      </c>
      <c r="Z10" s="4">
        <f t="shared" si="1"/>
        <v>-33</v>
      </c>
      <c r="AA10" s="4">
        <f t="shared" si="2"/>
        <v>-17.000000000000028</v>
      </c>
      <c r="AB10" s="4">
        <f t="shared" si="3"/>
        <v>-28.650000000000002</v>
      </c>
      <c r="AC10" s="13">
        <f t="shared" si="4"/>
        <v>4</v>
      </c>
      <c r="AD10" s="15">
        <f t="shared" si="5"/>
        <v>97</v>
      </c>
      <c r="AG10" s="18">
        <v>0</v>
      </c>
      <c r="AH10" s="19">
        <f t="shared" si="6"/>
        <v>30</v>
      </c>
      <c r="AI10" s="19">
        <f t="shared" si="7"/>
        <v>240</v>
      </c>
      <c r="AJ10" s="20">
        <f t="shared" si="15"/>
        <v>54</v>
      </c>
      <c r="AK10" s="19">
        <f t="shared" si="16"/>
        <v>54</v>
      </c>
      <c r="AL10" s="19">
        <f t="shared" si="17"/>
        <v>78</v>
      </c>
      <c r="AM10" s="19">
        <f t="shared" si="18"/>
        <v>78</v>
      </c>
      <c r="AN10" s="19">
        <f t="shared" si="8"/>
        <v>206.99999999999997</v>
      </c>
      <c r="AO10" s="19">
        <f t="shared" si="19"/>
        <v>153.5</v>
      </c>
      <c r="AP10" s="19">
        <f t="shared" si="20"/>
        <v>210.99999999999997</v>
      </c>
      <c r="AQ10" s="19">
        <f t="shared" si="21"/>
        <v>447</v>
      </c>
      <c r="AR10" s="47">
        <f t="shared" si="22"/>
        <v>-156.73000000000002</v>
      </c>
    </row>
    <row r="11" spans="1:48">
      <c r="A11" s="30">
        <f t="shared" si="0"/>
        <v>45818</v>
      </c>
      <c r="B11" s="31">
        <v>45818</v>
      </c>
      <c r="C11" s="32" t="s">
        <v>43</v>
      </c>
      <c r="D11" s="33">
        <v>0</v>
      </c>
      <c r="E11" s="35">
        <f t="shared" si="10"/>
        <v>2.0833333333333332E-2</v>
      </c>
      <c r="F11" s="34">
        <v>30</v>
      </c>
      <c r="G11" s="33">
        <v>0.16666666666666666</v>
      </c>
      <c r="H11" s="36">
        <f t="shared" si="11"/>
        <v>210</v>
      </c>
      <c r="I11" s="37">
        <f t="shared" si="12"/>
        <v>0.13263888888888889</v>
      </c>
      <c r="J11" s="4">
        <v>5</v>
      </c>
      <c r="K11" s="7"/>
      <c r="L11" s="2">
        <v>3.7499999999999999E-2</v>
      </c>
      <c r="M11" s="45">
        <v>4.7222222222222221E-2</v>
      </c>
      <c r="N11" s="46">
        <v>0.12916666666666668</v>
      </c>
      <c r="O11" s="45">
        <v>0.13218750000000001</v>
      </c>
      <c r="P11" s="47">
        <v>1.8616999999999999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3"/>
        <v>14</v>
      </c>
      <c r="W11" s="13">
        <f t="shared" si="13"/>
        <v>118.00000000000001</v>
      </c>
      <c r="X11" s="40">
        <f t="shared" si="14"/>
        <v>54</v>
      </c>
      <c r="Y11" s="4">
        <f t="shared" si="14"/>
        <v>38</v>
      </c>
      <c r="Z11" s="4">
        <f t="shared" si="1"/>
        <v>-53.999999999999972</v>
      </c>
      <c r="AA11" s="4">
        <f t="shared" si="2"/>
        <v>-37.999999999999986</v>
      </c>
      <c r="AB11" s="4">
        <f t="shared" si="3"/>
        <v>-49.64999999999997</v>
      </c>
      <c r="AC11" s="13">
        <f t="shared" si="4"/>
        <v>4</v>
      </c>
      <c r="AD11" s="15">
        <f t="shared" si="5"/>
        <v>107.99999999999997</v>
      </c>
      <c r="AG11" s="18">
        <v>0</v>
      </c>
      <c r="AH11" s="19">
        <f t="shared" si="6"/>
        <v>30</v>
      </c>
      <c r="AI11" s="19">
        <f t="shared" si="7"/>
        <v>240</v>
      </c>
      <c r="AJ11" s="20">
        <f t="shared" si="15"/>
        <v>44</v>
      </c>
      <c r="AK11" s="19">
        <f t="shared" si="16"/>
        <v>44</v>
      </c>
      <c r="AL11" s="19">
        <f t="shared" si="17"/>
        <v>68</v>
      </c>
      <c r="AM11" s="19">
        <f t="shared" si="18"/>
        <v>68</v>
      </c>
      <c r="AN11" s="19">
        <f t="shared" si="8"/>
        <v>186</v>
      </c>
      <c r="AO11" s="19">
        <f t="shared" si="19"/>
        <v>143</v>
      </c>
      <c r="AP11" s="19">
        <f t="shared" si="20"/>
        <v>190</v>
      </c>
      <c r="AQ11" s="19">
        <f t="shared" si="21"/>
        <v>458</v>
      </c>
      <c r="AR11" s="47">
        <f t="shared" si="22"/>
        <v>-156.91500000000002</v>
      </c>
    </row>
    <row r="12" spans="1:48">
      <c r="A12" s="30">
        <f t="shared" si="0"/>
        <v>45819</v>
      </c>
      <c r="B12" s="31">
        <v>45819</v>
      </c>
      <c r="C12" s="32" t="s">
        <v>43</v>
      </c>
      <c r="D12" s="33">
        <v>0</v>
      </c>
      <c r="E12" s="35">
        <f t="shared" si="10"/>
        <v>2.0833333333333332E-2</v>
      </c>
      <c r="F12" s="34">
        <v>30</v>
      </c>
      <c r="G12" s="33">
        <v>0.16666666666666666</v>
      </c>
      <c r="H12" s="36">
        <f t="shared" si="11"/>
        <v>210</v>
      </c>
      <c r="I12" s="37">
        <f t="shared" si="12"/>
        <v>0.14305555555555555</v>
      </c>
      <c r="J12" s="4">
        <v>5</v>
      </c>
      <c r="K12" s="7"/>
      <c r="L12" s="2">
        <v>3.0555555555555555E-2</v>
      </c>
      <c r="M12" s="45">
        <v>4.1666666666666664E-2</v>
      </c>
      <c r="N12" s="46">
        <v>0.13958333333333334</v>
      </c>
      <c r="O12" s="45">
        <v>0.14260416666666667</v>
      </c>
      <c r="P12" s="47">
        <v>1.8636999999999999</v>
      </c>
      <c r="Q12" t="s">
        <v>45</v>
      </c>
      <c r="R12" t="s">
        <v>45</v>
      </c>
      <c r="S12" t="s">
        <v>45</v>
      </c>
      <c r="T12" t="s">
        <v>45</v>
      </c>
      <c r="U12" s="7"/>
      <c r="V12" s="13">
        <f t="shared" si="13"/>
        <v>15.999999999999998</v>
      </c>
      <c r="W12" s="13">
        <f t="shared" si="13"/>
        <v>141.00000000000003</v>
      </c>
      <c r="X12" s="40">
        <f t="shared" si="14"/>
        <v>44</v>
      </c>
      <c r="Y12" s="4">
        <f t="shared" si="14"/>
        <v>30</v>
      </c>
      <c r="Z12" s="4">
        <f t="shared" si="1"/>
        <v>-38.999999999999979</v>
      </c>
      <c r="AA12" s="4">
        <f t="shared" si="2"/>
        <v>-24.999999999999972</v>
      </c>
      <c r="AB12" s="4">
        <f t="shared" si="3"/>
        <v>-34.649999999999977</v>
      </c>
      <c r="AC12" s="13">
        <f t="shared" si="4"/>
        <v>4</v>
      </c>
      <c r="AD12" s="15">
        <f t="shared" si="5"/>
        <v>82.999999999999972</v>
      </c>
      <c r="AG12" s="18">
        <v>0</v>
      </c>
      <c r="AH12" s="19">
        <f t="shared" si="6"/>
        <v>30</v>
      </c>
      <c r="AI12" s="19">
        <f t="shared" si="7"/>
        <v>240</v>
      </c>
      <c r="AJ12" s="20">
        <f t="shared" si="15"/>
        <v>34</v>
      </c>
      <c r="AK12" s="19">
        <f t="shared" si="16"/>
        <v>34</v>
      </c>
      <c r="AL12" s="19">
        <f t="shared" si="17"/>
        <v>60</v>
      </c>
      <c r="AM12" s="19">
        <f t="shared" si="18"/>
        <v>60</v>
      </c>
      <c r="AN12" s="19">
        <f t="shared" si="8"/>
        <v>201.00000000000003</v>
      </c>
      <c r="AO12" s="19">
        <f t="shared" si="19"/>
        <v>150.5</v>
      </c>
      <c r="AP12" s="19">
        <f t="shared" si="20"/>
        <v>205.00000000000003</v>
      </c>
      <c r="AQ12" s="19">
        <f t="shared" si="21"/>
        <v>433</v>
      </c>
      <c r="AR12" s="47">
        <f t="shared" si="22"/>
        <v>-156.815</v>
      </c>
      <c r="AS12">
        <f t="shared" si="9"/>
        <v>0</v>
      </c>
    </row>
    <row r="13" spans="1:48">
      <c r="A13" s="30">
        <f t="shared" si="0"/>
        <v>45820</v>
      </c>
      <c r="B13" s="31">
        <v>45820</v>
      </c>
      <c r="C13" s="32" t="s">
        <v>43</v>
      </c>
      <c r="D13" s="33">
        <v>0</v>
      </c>
      <c r="E13" s="35">
        <f t="shared" si="10"/>
        <v>2.0833333333333332E-2</v>
      </c>
      <c r="F13" s="34">
        <v>30</v>
      </c>
      <c r="G13" s="33">
        <v>0.16666666666666666</v>
      </c>
      <c r="H13" s="36">
        <f t="shared" si="11"/>
        <v>210</v>
      </c>
      <c r="I13" s="37">
        <f t="shared" si="12"/>
        <v>0.1361111111111111</v>
      </c>
      <c r="J13" s="4">
        <v>5</v>
      </c>
      <c r="K13" s="7"/>
      <c r="L13" s="2">
        <v>2.9861111111111113E-2</v>
      </c>
      <c r="M13" s="45">
        <v>4.5138888888888888E-2</v>
      </c>
      <c r="N13" s="46">
        <v>0.13263888888888889</v>
      </c>
      <c r="O13" s="45">
        <v>0.13565972222222222</v>
      </c>
      <c r="P13" s="47">
        <v>1.8620000000000001</v>
      </c>
      <c r="Q13" t="s">
        <v>45</v>
      </c>
      <c r="R13" t="s">
        <v>45</v>
      </c>
      <c r="S13" t="s">
        <v>45</v>
      </c>
      <c r="T13" t="s">
        <v>45</v>
      </c>
      <c r="U13" s="7"/>
      <c r="V13" s="13">
        <f t="shared" si="13"/>
        <v>21.999999999999996</v>
      </c>
      <c r="W13" s="13">
        <f t="shared" si="13"/>
        <v>125.99999999999999</v>
      </c>
      <c r="X13" s="40">
        <f t="shared" si="14"/>
        <v>43</v>
      </c>
      <c r="Y13" s="4">
        <f t="shared" si="14"/>
        <v>35</v>
      </c>
      <c r="Z13" s="4">
        <f t="shared" si="1"/>
        <v>-48.999999999999986</v>
      </c>
      <c r="AA13" s="4">
        <f t="shared" si="2"/>
        <v>-41.000000000000014</v>
      </c>
      <c r="AB13" s="4">
        <f t="shared" si="3"/>
        <v>-44.649999999999984</v>
      </c>
      <c r="AC13" s="13">
        <f t="shared" si="4"/>
        <v>4</v>
      </c>
      <c r="AD13" s="15">
        <f t="shared" si="5"/>
        <v>91.999999999999986</v>
      </c>
      <c r="AG13" s="18">
        <v>0</v>
      </c>
      <c r="AH13" s="19">
        <f t="shared" si="6"/>
        <v>30</v>
      </c>
      <c r="AI13" s="19">
        <f t="shared" si="7"/>
        <v>240</v>
      </c>
      <c r="AJ13" s="20">
        <f t="shared" si="15"/>
        <v>33</v>
      </c>
      <c r="AK13" s="19">
        <f t="shared" si="16"/>
        <v>33</v>
      </c>
      <c r="AL13" s="19">
        <f t="shared" si="17"/>
        <v>65</v>
      </c>
      <c r="AM13" s="19">
        <f t="shared" si="18"/>
        <v>65</v>
      </c>
      <c r="AN13" s="19">
        <f t="shared" si="8"/>
        <v>191</v>
      </c>
      <c r="AO13" s="19">
        <f t="shared" si="19"/>
        <v>145.5</v>
      </c>
      <c r="AP13" s="19">
        <f t="shared" si="20"/>
        <v>195</v>
      </c>
      <c r="AQ13" s="19">
        <f t="shared" si="21"/>
        <v>442</v>
      </c>
      <c r="AR13" s="47">
        <f t="shared" si="22"/>
        <v>-156.89999999999998</v>
      </c>
    </row>
    <row r="14" spans="1:48">
      <c r="A14" s="30">
        <f t="shared" si="0"/>
        <v>45821</v>
      </c>
      <c r="B14" s="31">
        <v>45821</v>
      </c>
      <c r="C14" s="32" t="s">
        <v>43</v>
      </c>
      <c r="D14" s="33">
        <v>0</v>
      </c>
      <c r="E14" s="35">
        <f t="shared" si="10"/>
        <v>2.0833333333333332E-2</v>
      </c>
      <c r="F14" s="34">
        <v>30</v>
      </c>
      <c r="G14" s="33">
        <v>0.16666666666666666</v>
      </c>
      <c r="H14" s="36">
        <f t="shared" si="11"/>
        <v>210</v>
      </c>
      <c r="I14" s="37">
        <f t="shared" si="12"/>
        <v>0.15416666666666665</v>
      </c>
      <c r="J14" s="4">
        <v>5</v>
      </c>
      <c r="K14" s="7"/>
      <c r="L14" s="2">
        <v>6.6666666666666666E-2</v>
      </c>
      <c r="M14" s="45">
        <v>7.8472222222222221E-2</v>
      </c>
      <c r="N14" s="46">
        <v>0.15069444444444444</v>
      </c>
      <c r="O14" s="45">
        <v>0.15341435185185184</v>
      </c>
      <c r="P14" s="47">
        <v>1.8778999999999999</v>
      </c>
      <c r="Q14" t="s">
        <v>44</v>
      </c>
      <c r="R14" t="s">
        <v>45</v>
      </c>
      <c r="S14" t="s">
        <v>45</v>
      </c>
      <c r="T14" t="s">
        <v>45</v>
      </c>
      <c r="U14" s="7"/>
      <c r="V14" s="13">
        <f t="shared" si="13"/>
        <v>17</v>
      </c>
      <c r="W14" s="13">
        <f t="shared" si="13"/>
        <v>103.99999999999999</v>
      </c>
      <c r="X14" s="40">
        <f t="shared" si="14"/>
        <v>96</v>
      </c>
      <c r="Y14" s="4">
        <f t="shared" si="14"/>
        <v>83</v>
      </c>
      <c r="Z14" s="4">
        <f t="shared" si="1"/>
        <v>-23</v>
      </c>
      <c r="AA14" s="4">
        <f t="shared" si="2"/>
        <v>-10.000000000000014</v>
      </c>
      <c r="AB14" s="4">
        <f t="shared" si="3"/>
        <v>-19.083333333333332</v>
      </c>
      <c r="AC14" s="13">
        <f t="shared" si="4"/>
        <v>4</v>
      </c>
      <c r="AD14" s="15">
        <f t="shared" si="5"/>
        <v>119</v>
      </c>
      <c r="AG14" s="18">
        <v>0</v>
      </c>
      <c r="AH14" s="19">
        <f t="shared" si="6"/>
        <v>30</v>
      </c>
      <c r="AI14" s="19">
        <f t="shared" si="7"/>
        <v>240</v>
      </c>
      <c r="AJ14" s="20">
        <f t="shared" si="15"/>
        <v>86</v>
      </c>
      <c r="AK14" s="19">
        <f t="shared" si="16"/>
        <v>86</v>
      </c>
      <c r="AL14" s="19">
        <f t="shared" si="17"/>
        <v>113</v>
      </c>
      <c r="AM14" s="19">
        <f t="shared" si="18"/>
        <v>113</v>
      </c>
      <c r="AN14" s="19">
        <f t="shared" si="8"/>
        <v>217</v>
      </c>
      <c r="AO14" s="19">
        <f t="shared" si="19"/>
        <v>158.5</v>
      </c>
      <c r="AP14" s="19">
        <f t="shared" si="20"/>
        <v>221</v>
      </c>
      <c r="AQ14" s="19">
        <f t="shared" si="21"/>
        <v>469</v>
      </c>
      <c r="AR14" s="47">
        <f t="shared" si="22"/>
        <v>-156.10500000000002</v>
      </c>
      <c r="AT14">
        <f t="shared" si="23"/>
        <v>0</v>
      </c>
    </row>
    <row r="15" spans="1:48">
      <c r="A15" s="30">
        <f t="shared" si="0"/>
        <v>45822</v>
      </c>
      <c r="B15" s="31">
        <v>45822</v>
      </c>
      <c r="C15" s="32" t="s">
        <v>43</v>
      </c>
      <c r="D15" s="33">
        <v>0</v>
      </c>
      <c r="E15" s="35">
        <f t="shared" si="10"/>
        <v>2.0833333333333332E-2</v>
      </c>
      <c r="F15" s="34">
        <v>30</v>
      </c>
      <c r="G15" s="33">
        <v>0.16666666666666666</v>
      </c>
      <c r="H15" s="36">
        <f t="shared" si="11"/>
        <v>210</v>
      </c>
      <c r="I15" s="37">
        <f t="shared" si="12"/>
        <v>0.17638888888888887</v>
      </c>
      <c r="J15" s="4">
        <v>5</v>
      </c>
      <c r="K15" s="7"/>
      <c r="L15" s="2">
        <v>5.4166666666666669E-2</v>
      </c>
      <c r="M15" s="45">
        <v>6.805555555555555E-2</v>
      </c>
      <c r="N15" s="46">
        <v>0.17291666666666666</v>
      </c>
      <c r="O15" s="45">
        <v>0.17563657407407407</v>
      </c>
      <c r="P15" s="47">
        <v>1.8609</v>
      </c>
      <c r="Q15" t="s">
        <v>44</v>
      </c>
      <c r="R15" t="s">
        <v>45</v>
      </c>
      <c r="S15" t="s">
        <v>45</v>
      </c>
      <c r="T15" t="s">
        <v>45</v>
      </c>
      <c r="U15" s="7"/>
      <c r="V15" s="13">
        <f t="shared" si="13"/>
        <v>19.999999999999989</v>
      </c>
      <c r="W15" s="13">
        <f t="shared" si="13"/>
        <v>151</v>
      </c>
      <c r="X15" s="40">
        <f t="shared" si="14"/>
        <v>78</v>
      </c>
      <c r="Y15" s="4">
        <f t="shared" si="14"/>
        <v>68</v>
      </c>
      <c r="Z15" s="4">
        <f t="shared" si="1"/>
        <v>9.0000000000000071</v>
      </c>
      <c r="AA15" s="4">
        <f t="shared" si="2"/>
        <v>19</v>
      </c>
      <c r="AB15" s="4">
        <f t="shared" si="3"/>
        <v>12.916666666666675</v>
      </c>
      <c r="AC15" s="13">
        <f t="shared" si="4"/>
        <v>4</v>
      </c>
      <c r="AD15" s="15">
        <f t="shared" si="5"/>
        <v>69</v>
      </c>
      <c r="AG15" s="18">
        <v>0</v>
      </c>
      <c r="AH15" s="19">
        <f t="shared" si="6"/>
        <v>30</v>
      </c>
      <c r="AI15" s="19">
        <f t="shared" si="7"/>
        <v>240</v>
      </c>
      <c r="AJ15" s="20">
        <f t="shared" si="15"/>
        <v>68</v>
      </c>
      <c r="AK15" s="19">
        <f t="shared" si="16"/>
        <v>68</v>
      </c>
      <c r="AL15" s="19">
        <f t="shared" si="17"/>
        <v>98</v>
      </c>
      <c r="AM15" s="19">
        <f t="shared" si="18"/>
        <v>98</v>
      </c>
      <c r="AN15" s="19">
        <f t="shared" si="8"/>
        <v>249</v>
      </c>
      <c r="AO15" s="19">
        <f t="shared" si="19"/>
        <v>174.5</v>
      </c>
      <c r="AP15" s="19">
        <f t="shared" si="20"/>
        <v>253</v>
      </c>
      <c r="AQ15" s="19">
        <f t="shared" si="21"/>
        <v>419</v>
      </c>
      <c r="AR15" s="47">
        <f t="shared" si="22"/>
        <v>-156.95499999999998</v>
      </c>
    </row>
    <row r="16" spans="1:48">
      <c r="A16" s="30">
        <f t="shared" si="0"/>
        <v>45823</v>
      </c>
      <c r="B16" s="31">
        <v>45823</v>
      </c>
      <c r="C16" s="32" t="s">
        <v>43</v>
      </c>
      <c r="D16" s="33">
        <v>0</v>
      </c>
      <c r="E16" s="35">
        <f t="shared" si="10"/>
        <v>2.0833333333333332E-2</v>
      </c>
      <c r="F16" s="34">
        <v>30</v>
      </c>
      <c r="G16" s="33">
        <v>0.16666666666666666</v>
      </c>
      <c r="H16" s="36">
        <f t="shared" si="11"/>
        <v>210</v>
      </c>
      <c r="I16" s="37">
        <f t="shared" si="12"/>
        <v>0.15972222222222221</v>
      </c>
      <c r="J16" s="4">
        <v>5</v>
      </c>
      <c r="K16" s="7"/>
      <c r="L16" s="2">
        <v>4.7222222222222221E-2</v>
      </c>
      <c r="M16" s="45">
        <v>5.6944444444444443E-2</v>
      </c>
      <c r="N16" s="46">
        <v>0.15625</v>
      </c>
      <c r="O16" s="45">
        <v>0.15896990740740741</v>
      </c>
      <c r="P16" s="47">
        <v>1.9248000000000001</v>
      </c>
      <c r="Q16" t="s">
        <v>44</v>
      </c>
      <c r="R16" t="s">
        <v>45</v>
      </c>
      <c r="S16" t="s">
        <v>45</v>
      </c>
      <c r="T16" t="s">
        <v>45</v>
      </c>
      <c r="U16" s="7"/>
      <c r="V16" s="13">
        <f t="shared" si="13"/>
        <v>14</v>
      </c>
      <c r="W16" s="13">
        <f t="shared" si="13"/>
        <v>143</v>
      </c>
      <c r="X16" s="40">
        <f t="shared" si="14"/>
        <v>68</v>
      </c>
      <c r="Y16" s="4">
        <f t="shared" si="14"/>
        <v>51.999999999999993</v>
      </c>
      <c r="Z16" s="4">
        <f t="shared" si="1"/>
        <v>-14.999999999999986</v>
      </c>
      <c r="AA16" s="4">
        <f t="shared" si="2"/>
        <v>1</v>
      </c>
      <c r="AB16" s="4">
        <f t="shared" si="3"/>
        <v>-11.083333333333321</v>
      </c>
      <c r="AC16" s="13">
        <f t="shared" si="4"/>
        <v>4</v>
      </c>
      <c r="AD16" s="15">
        <f t="shared" si="5"/>
        <v>82.999999999999986</v>
      </c>
      <c r="AG16" s="18">
        <v>0</v>
      </c>
      <c r="AH16" s="19">
        <f t="shared" si="6"/>
        <v>30</v>
      </c>
      <c r="AI16" s="19">
        <f t="shared" si="7"/>
        <v>240</v>
      </c>
      <c r="AJ16" s="20">
        <f t="shared" si="15"/>
        <v>58</v>
      </c>
      <c r="AK16" s="19">
        <f t="shared" si="16"/>
        <v>58</v>
      </c>
      <c r="AL16" s="19">
        <f t="shared" si="17"/>
        <v>82</v>
      </c>
      <c r="AM16" s="19">
        <f t="shared" si="18"/>
        <v>82</v>
      </c>
      <c r="AN16" s="19">
        <f>AM16+W16</f>
        <v>225</v>
      </c>
      <c r="AO16" s="19">
        <f t="shared" si="19"/>
        <v>162.5</v>
      </c>
      <c r="AP16" s="19">
        <f t="shared" si="20"/>
        <v>229</v>
      </c>
      <c r="AQ16" s="19">
        <f t="shared" si="21"/>
        <v>433</v>
      </c>
      <c r="AR16" s="47">
        <f t="shared" si="22"/>
        <v>-153.76</v>
      </c>
    </row>
    <row r="17" spans="1:46">
      <c r="A17" s="30">
        <f t="shared" si="0"/>
        <v>45824</v>
      </c>
      <c r="B17" s="31">
        <v>45824</v>
      </c>
      <c r="C17" s="32" t="s">
        <v>43</v>
      </c>
      <c r="D17" s="33">
        <v>0</v>
      </c>
      <c r="E17" s="35">
        <f t="shared" si="10"/>
        <v>2.0833333333333332E-2</v>
      </c>
      <c r="F17" s="34">
        <v>30</v>
      </c>
      <c r="G17" s="33">
        <v>0.16666666666666666</v>
      </c>
      <c r="H17" s="36">
        <f t="shared" si="11"/>
        <v>210</v>
      </c>
      <c r="I17" s="37">
        <f t="shared" si="12"/>
        <v>0.13819444444444443</v>
      </c>
      <c r="J17" s="4">
        <v>5</v>
      </c>
      <c r="K17" s="7"/>
      <c r="L17" s="2">
        <v>4.1666666666666664E-2</v>
      </c>
      <c r="M17" s="45">
        <v>5.2083333333333336E-2</v>
      </c>
      <c r="N17" s="46">
        <v>0.13472222222222222</v>
      </c>
      <c r="O17" s="45">
        <v>0.13774305555555555</v>
      </c>
      <c r="P17" s="47">
        <v>1.8939999999999999</v>
      </c>
      <c r="Q17" t="s">
        <v>44</v>
      </c>
      <c r="R17" t="s">
        <v>45</v>
      </c>
      <c r="S17" t="s">
        <v>45</v>
      </c>
      <c r="T17" t="s">
        <v>45</v>
      </c>
      <c r="U17" s="7"/>
      <c r="V17" s="13">
        <f t="shared" si="13"/>
        <v>15.000000000000007</v>
      </c>
      <c r="W17" s="13">
        <f t="shared" si="13"/>
        <v>118.99999999999997</v>
      </c>
      <c r="X17" s="40">
        <f t="shared" si="14"/>
        <v>60</v>
      </c>
      <c r="Y17" s="4">
        <f t="shared" si="14"/>
        <v>45</v>
      </c>
      <c r="Z17" s="4">
        <f t="shared" si="1"/>
        <v>-46</v>
      </c>
      <c r="AA17" s="4">
        <f t="shared" si="2"/>
        <v>-31.000000000000028</v>
      </c>
      <c r="AB17" s="4">
        <f t="shared" si="3"/>
        <v>-41.65</v>
      </c>
      <c r="AC17" s="13">
        <f t="shared" si="4"/>
        <v>4</v>
      </c>
      <c r="AD17" s="15">
        <f t="shared" si="5"/>
        <v>106</v>
      </c>
      <c r="AG17" s="18">
        <v>0</v>
      </c>
      <c r="AH17" s="19">
        <f t="shared" si="6"/>
        <v>30</v>
      </c>
      <c r="AI17" s="19">
        <f t="shared" si="7"/>
        <v>240</v>
      </c>
      <c r="AJ17" s="20">
        <f t="shared" si="15"/>
        <v>50</v>
      </c>
      <c r="AK17" s="19">
        <f t="shared" si="16"/>
        <v>50</v>
      </c>
      <c r="AL17" s="19">
        <f t="shared" si="17"/>
        <v>75</v>
      </c>
      <c r="AM17" s="19">
        <f t="shared" si="18"/>
        <v>75</v>
      </c>
      <c r="AN17" s="19">
        <f>AM17+W17</f>
        <v>193.99999999999997</v>
      </c>
      <c r="AO17" s="19">
        <f t="shared" si="19"/>
        <v>147</v>
      </c>
      <c r="AP17" s="19">
        <f t="shared" si="20"/>
        <v>197.99999999999997</v>
      </c>
      <c r="AQ17" s="19">
        <f t="shared" si="21"/>
        <v>456</v>
      </c>
      <c r="AR17" s="47">
        <f t="shared" si="22"/>
        <v>-155.30000000000001</v>
      </c>
    </row>
    <row r="18" spans="1:46">
      <c r="A18" s="30">
        <f t="shared" si="0"/>
        <v>45825</v>
      </c>
      <c r="B18" s="31">
        <v>45825</v>
      </c>
      <c r="C18" s="32" t="s">
        <v>43</v>
      </c>
      <c r="D18" s="33">
        <v>0</v>
      </c>
      <c r="E18" s="35">
        <f t="shared" si="10"/>
        <v>2.0833333333333332E-2</v>
      </c>
      <c r="F18" s="34">
        <v>30</v>
      </c>
      <c r="G18" s="33">
        <v>0.16666666666666666</v>
      </c>
      <c r="H18" s="36">
        <f t="shared" si="11"/>
        <v>210</v>
      </c>
      <c r="I18" s="37">
        <f t="shared" si="12"/>
        <v>0.14861111111111111</v>
      </c>
      <c r="J18" s="4">
        <v>5</v>
      </c>
      <c r="K18" s="7"/>
      <c r="L18" s="2">
        <v>3.1944444444444442E-2</v>
      </c>
      <c r="M18" s="45">
        <v>4.791666666666667E-2</v>
      </c>
      <c r="N18" s="46">
        <v>0.1451388888888889</v>
      </c>
      <c r="O18" s="45">
        <v>0.14815972222222223</v>
      </c>
      <c r="P18" s="47">
        <v>1.8855999999999999</v>
      </c>
      <c r="Q18" t="s">
        <v>44</v>
      </c>
      <c r="R18" t="s">
        <v>45</v>
      </c>
      <c r="S18" t="s">
        <v>45</v>
      </c>
      <c r="T18" t="s">
        <v>45</v>
      </c>
      <c r="U18" s="7"/>
      <c r="V18" s="13">
        <f t="shared" si="13"/>
        <v>23.000000000000007</v>
      </c>
      <c r="W18" s="13">
        <f t="shared" si="13"/>
        <v>140.00000000000003</v>
      </c>
      <c r="X18" s="40">
        <f t="shared" si="14"/>
        <v>46</v>
      </c>
      <c r="Y18" s="4">
        <f t="shared" si="14"/>
        <v>39.000000000000007</v>
      </c>
      <c r="Z18" s="4">
        <f t="shared" si="1"/>
        <v>-30.999999999999972</v>
      </c>
      <c r="AA18" s="4">
        <f t="shared" si="2"/>
        <v>-23.999999999999972</v>
      </c>
      <c r="AB18" s="4">
        <f t="shared" si="3"/>
        <v>-26.64999999999997</v>
      </c>
      <c r="AC18" s="13">
        <f t="shared" si="4"/>
        <v>4</v>
      </c>
      <c r="AD18" s="15">
        <f t="shared" si="5"/>
        <v>76.999999999999972</v>
      </c>
      <c r="AG18" s="18">
        <v>0</v>
      </c>
      <c r="AH18" s="19">
        <f t="shared" si="6"/>
        <v>30</v>
      </c>
      <c r="AI18" s="19">
        <f t="shared" si="7"/>
        <v>240</v>
      </c>
      <c r="AJ18" s="20">
        <f t="shared" si="15"/>
        <v>36</v>
      </c>
      <c r="AK18" s="19">
        <f t="shared" si="16"/>
        <v>36</v>
      </c>
      <c r="AL18" s="19">
        <f t="shared" si="17"/>
        <v>69</v>
      </c>
      <c r="AM18" s="19">
        <f t="shared" si="18"/>
        <v>69</v>
      </c>
      <c r="AN18" s="19">
        <f>AM18+W18</f>
        <v>209.00000000000003</v>
      </c>
      <c r="AO18" s="19">
        <f t="shared" si="19"/>
        <v>154.5</v>
      </c>
      <c r="AP18" s="19">
        <f t="shared" si="20"/>
        <v>213.00000000000003</v>
      </c>
      <c r="AQ18" s="19">
        <f t="shared" si="21"/>
        <v>427</v>
      </c>
      <c r="AR18" s="47">
        <f t="shared" si="22"/>
        <v>-155.72</v>
      </c>
      <c r="AT18">
        <f t="shared" si="23"/>
        <v>0</v>
      </c>
    </row>
    <row r="19" spans="1:46">
      <c r="A19" s="30">
        <f t="shared" si="0"/>
        <v>45826</v>
      </c>
      <c r="B19" s="31">
        <v>45826</v>
      </c>
      <c r="C19" s="32" t="s">
        <v>43</v>
      </c>
      <c r="D19" s="33">
        <v>0</v>
      </c>
      <c r="E19" s="35">
        <f t="shared" si="10"/>
        <v>2.0833333333333332E-2</v>
      </c>
      <c r="F19" s="34">
        <v>30</v>
      </c>
      <c r="G19" s="33">
        <v>0.16666666666666666</v>
      </c>
      <c r="H19" s="36">
        <f t="shared" si="11"/>
        <v>210</v>
      </c>
      <c r="I19" s="37">
        <f t="shared" si="12"/>
        <v>0.14930555555555555</v>
      </c>
      <c r="J19" s="4">
        <v>5</v>
      </c>
      <c r="K19" s="7"/>
      <c r="L19" s="2">
        <v>3.2638888888888891E-2</v>
      </c>
      <c r="M19" s="45">
        <v>5.4166666666666669E-2</v>
      </c>
      <c r="N19" s="46">
        <v>0.14583333333333334</v>
      </c>
      <c r="O19" s="45">
        <v>0.14789351851851854</v>
      </c>
      <c r="P19" s="47">
        <v>1.8869</v>
      </c>
      <c r="Q19" t="s">
        <v>44</v>
      </c>
      <c r="R19" t="s">
        <v>45</v>
      </c>
      <c r="S19" t="s">
        <v>45</v>
      </c>
      <c r="T19" t="s">
        <v>45</v>
      </c>
      <c r="U19" s="7"/>
      <c r="V19" s="13">
        <f t="shared" si="13"/>
        <v>31</v>
      </c>
      <c r="W19" s="13">
        <f t="shared" si="13"/>
        <v>132</v>
      </c>
      <c r="X19" s="40">
        <f t="shared" si="14"/>
        <v>47</v>
      </c>
      <c r="Y19" s="4">
        <f t="shared" si="14"/>
        <v>48.000000000000007</v>
      </c>
      <c r="Z19" s="4">
        <f t="shared" si="1"/>
        <v>-29.999999999999972</v>
      </c>
      <c r="AA19" s="4">
        <f t="shared" si="2"/>
        <v>-31</v>
      </c>
      <c r="AB19" s="4">
        <f t="shared" si="3"/>
        <v>-27.033333333333296</v>
      </c>
      <c r="AC19" s="13">
        <f t="shared" si="4"/>
        <v>3</v>
      </c>
      <c r="AD19" s="15">
        <f t="shared" si="5"/>
        <v>76.999999999999972</v>
      </c>
      <c r="AG19" s="18">
        <v>0</v>
      </c>
      <c r="AH19" s="19">
        <f t="shared" si="6"/>
        <v>30</v>
      </c>
      <c r="AI19" s="19">
        <f t="shared" si="7"/>
        <v>240</v>
      </c>
      <c r="AJ19" s="20">
        <f t="shared" si="15"/>
        <v>37</v>
      </c>
      <c r="AK19" s="19">
        <f t="shared" si="16"/>
        <v>37</v>
      </c>
      <c r="AL19" s="19">
        <f t="shared" si="17"/>
        <v>78</v>
      </c>
      <c r="AM19" s="19">
        <f t="shared" si="18"/>
        <v>78</v>
      </c>
      <c r="AN19" s="19">
        <f>AM19+W19</f>
        <v>210</v>
      </c>
      <c r="AO19" s="19">
        <f t="shared" si="19"/>
        <v>155</v>
      </c>
      <c r="AP19" s="19">
        <f t="shared" si="20"/>
        <v>213</v>
      </c>
      <c r="AQ19" s="19">
        <f t="shared" si="21"/>
        <v>427</v>
      </c>
      <c r="AR19" s="47">
        <f t="shared" si="22"/>
        <v>-155.655</v>
      </c>
    </row>
    <row r="20" spans="1:46">
      <c r="A20" s="30">
        <f t="shared" si="0"/>
        <v>45827</v>
      </c>
      <c r="B20" s="31">
        <v>45827</v>
      </c>
      <c r="C20" s="32" t="s">
        <v>43</v>
      </c>
      <c r="D20" s="33">
        <v>0</v>
      </c>
      <c r="E20" s="35">
        <f t="shared" si="10"/>
        <v>2.0833333333333332E-2</v>
      </c>
      <c r="F20" s="34">
        <v>30</v>
      </c>
      <c r="G20" s="33">
        <v>0.16666666666666666</v>
      </c>
      <c r="H20" s="36">
        <f t="shared" si="11"/>
        <v>210</v>
      </c>
      <c r="I20" s="37">
        <f t="shared" si="12"/>
        <v>0.15277777777777776</v>
      </c>
      <c r="J20" s="4">
        <v>5</v>
      </c>
      <c r="K20" s="7"/>
      <c r="L20" s="2">
        <v>3.125E-2</v>
      </c>
      <c r="M20" s="45">
        <v>4.8611111111111112E-2</v>
      </c>
      <c r="N20" s="46">
        <v>0.14930555555555555</v>
      </c>
      <c r="O20" s="45">
        <v>0.15202546296296296</v>
      </c>
      <c r="P20" s="47">
        <v>1.8737999999999999</v>
      </c>
      <c r="Q20" t="s">
        <v>44</v>
      </c>
      <c r="R20" t="s">
        <v>45</v>
      </c>
      <c r="S20" t="s">
        <v>45</v>
      </c>
      <c r="T20" t="s">
        <v>45</v>
      </c>
      <c r="U20" s="7"/>
      <c r="V20" s="13">
        <f t="shared" si="13"/>
        <v>25</v>
      </c>
      <c r="W20" s="13">
        <f t="shared" si="13"/>
        <v>145</v>
      </c>
      <c r="X20" s="40">
        <f t="shared" si="14"/>
        <v>45</v>
      </c>
      <c r="Y20" s="4">
        <f t="shared" si="14"/>
        <v>40</v>
      </c>
      <c r="Z20" s="4">
        <f t="shared" si="1"/>
        <v>-24.999999999999993</v>
      </c>
      <c r="AA20" s="4">
        <f t="shared" si="2"/>
        <v>-20</v>
      </c>
      <c r="AB20" s="4">
        <f t="shared" si="3"/>
        <v>-21.083333333333325</v>
      </c>
      <c r="AC20" s="13">
        <f t="shared" si="4"/>
        <v>4</v>
      </c>
      <c r="AD20" s="15">
        <f t="shared" si="5"/>
        <v>70</v>
      </c>
      <c r="AG20" s="18">
        <v>0</v>
      </c>
      <c r="AH20" s="19">
        <f t="shared" si="6"/>
        <v>30</v>
      </c>
      <c r="AI20" s="19">
        <f t="shared" si="7"/>
        <v>240</v>
      </c>
      <c r="AJ20" s="20">
        <f t="shared" si="15"/>
        <v>35</v>
      </c>
      <c r="AK20" s="19">
        <f>AJ20</f>
        <v>35</v>
      </c>
      <c r="AL20" s="19">
        <f t="shared" si="17"/>
        <v>70</v>
      </c>
      <c r="AM20" s="19">
        <f t="shared" si="18"/>
        <v>70</v>
      </c>
      <c r="AN20" s="19">
        <f>AM20+W20</f>
        <v>215</v>
      </c>
      <c r="AO20" s="19">
        <f t="shared" si="19"/>
        <v>157.5</v>
      </c>
      <c r="AP20" s="19">
        <f t="shared" si="20"/>
        <v>219</v>
      </c>
      <c r="AQ20" s="19">
        <f t="shared" si="21"/>
        <v>420</v>
      </c>
      <c r="AR20" s="47">
        <f t="shared" si="22"/>
        <v>-156.31</v>
      </c>
      <c r="AS20">
        <f t="shared" si="9"/>
        <v>-225</v>
      </c>
      <c r="AT20">
        <f t="shared" si="23"/>
        <v>0</v>
      </c>
    </row>
    <row r="21" spans="1:46">
      <c r="A21" s="30">
        <f t="shared" si="0"/>
        <v>45828</v>
      </c>
      <c r="B21" s="31">
        <v>45828</v>
      </c>
      <c r="C21" s="32" t="s">
        <v>43</v>
      </c>
      <c r="D21" s="33">
        <v>0</v>
      </c>
      <c r="E21" s="35">
        <f t="shared" si="10"/>
        <v>2.0833333333333332E-2</v>
      </c>
      <c r="F21" s="34">
        <v>30</v>
      </c>
      <c r="G21" s="33">
        <v>0.16666666666666666</v>
      </c>
      <c r="H21" s="36">
        <f t="shared" si="11"/>
        <v>210</v>
      </c>
      <c r="I21" s="37">
        <f t="shared" si="12"/>
        <v>0.13472222222222222</v>
      </c>
      <c r="J21" s="4">
        <v>5</v>
      </c>
      <c r="K21" s="7"/>
      <c r="L21" s="2">
        <v>4.5138888888888888E-2</v>
      </c>
      <c r="M21" s="45">
        <v>5.6250000000000001E-2</v>
      </c>
      <c r="N21" s="46">
        <v>0.13125000000000001</v>
      </c>
      <c r="O21" s="45">
        <v>0.1333101851851852</v>
      </c>
      <c r="P21" s="47">
        <v>1.8867</v>
      </c>
      <c r="Q21" t="s">
        <v>45</v>
      </c>
      <c r="R21" t="s">
        <v>45</v>
      </c>
      <c r="S21" t="s">
        <v>45</v>
      </c>
      <c r="T21" t="s">
        <v>45</v>
      </c>
      <c r="U21" s="7"/>
      <c r="V21" s="13">
        <f t="shared" si="13"/>
        <v>16.000000000000004</v>
      </c>
      <c r="W21" s="13">
        <f t="shared" si="13"/>
        <v>108.00000000000001</v>
      </c>
      <c r="X21" s="40">
        <f t="shared" si="14"/>
        <v>65</v>
      </c>
      <c r="Y21" s="4">
        <f t="shared" si="14"/>
        <v>51</v>
      </c>
      <c r="Z21" s="4">
        <f t="shared" si="1"/>
        <v>-50.999999999999979</v>
      </c>
      <c r="AA21" s="4">
        <f t="shared" si="2"/>
        <v>-36.999999999999986</v>
      </c>
      <c r="AB21" s="4">
        <f t="shared" si="3"/>
        <v>-48.033333333333303</v>
      </c>
      <c r="AC21" s="13">
        <f t="shared" si="4"/>
        <v>3</v>
      </c>
      <c r="AD21" s="15">
        <f t="shared" si="5"/>
        <v>115.99999999999997</v>
      </c>
      <c r="AG21" s="18">
        <v>0</v>
      </c>
      <c r="AH21" s="19">
        <f t="shared" si="6"/>
        <v>30</v>
      </c>
      <c r="AI21" s="19">
        <f t="shared" si="7"/>
        <v>240</v>
      </c>
      <c r="AJ21" s="20">
        <f t="shared" si="15"/>
        <v>55</v>
      </c>
      <c r="AK21" s="19">
        <f t="shared" ref="AK21:AK31" si="25">AJ21</f>
        <v>55</v>
      </c>
      <c r="AL21" s="19">
        <f t="shared" si="17"/>
        <v>81</v>
      </c>
      <c r="AM21" s="19">
        <f t="shared" si="18"/>
        <v>81</v>
      </c>
      <c r="AN21" s="19">
        <f t="shared" ref="AN21:AN31" si="26">AM21+W21</f>
        <v>189</v>
      </c>
      <c r="AO21" s="19">
        <f t="shared" si="19"/>
        <v>144.5</v>
      </c>
      <c r="AP21" s="19">
        <f t="shared" si="20"/>
        <v>192</v>
      </c>
      <c r="AQ21" s="19">
        <f t="shared" si="21"/>
        <v>466</v>
      </c>
      <c r="AR21" s="47">
        <f t="shared" si="22"/>
        <v>-155.66499999999999</v>
      </c>
      <c r="AS21">
        <f t="shared" si="9"/>
        <v>0</v>
      </c>
    </row>
    <row r="22" spans="1:46">
      <c r="A22" s="30">
        <f t="shared" si="0"/>
        <v>45829</v>
      </c>
      <c r="B22" s="31">
        <v>45829</v>
      </c>
      <c r="C22" s="32" t="s">
        <v>43</v>
      </c>
      <c r="D22" s="33">
        <v>0</v>
      </c>
      <c r="E22" s="35">
        <f t="shared" si="10"/>
        <v>2.0833333333333332E-2</v>
      </c>
      <c r="F22" s="34">
        <v>30</v>
      </c>
      <c r="G22" s="33">
        <v>0.16666666666666666</v>
      </c>
      <c r="H22" s="36">
        <f t="shared" si="11"/>
        <v>210</v>
      </c>
      <c r="I22" s="37">
        <f t="shared" si="12"/>
        <v>0.16805555555555554</v>
      </c>
      <c r="J22" s="4">
        <v>5</v>
      </c>
      <c r="K22" s="7"/>
      <c r="L22" s="2">
        <v>0.05</v>
      </c>
      <c r="M22" s="45">
        <v>6.6666666666666666E-2</v>
      </c>
      <c r="N22" s="46">
        <v>0.16458333333333333</v>
      </c>
      <c r="O22" s="45">
        <v>0.16730324074074074</v>
      </c>
      <c r="P22" s="47">
        <v>1.8912</v>
      </c>
      <c r="Q22" t="s">
        <v>44</v>
      </c>
      <c r="R22" t="s">
        <v>45</v>
      </c>
      <c r="S22" t="s">
        <v>45</v>
      </c>
      <c r="T22" t="s">
        <v>45</v>
      </c>
      <c r="U22" s="7"/>
      <c r="V22" s="13">
        <f t="shared" si="13"/>
        <v>23.999999999999993</v>
      </c>
      <c r="W22" s="13">
        <f t="shared" si="13"/>
        <v>141</v>
      </c>
      <c r="X22" s="40">
        <f t="shared" si="14"/>
        <v>72</v>
      </c>
      <c r="Y22" s="4">
        <f t="shared" si="14"/>
        <v>66</v>
      </c>
      <c r="Z22" s="4">
        <f t="shared" si="1"/>
        <v>-2.9999999999999893</v>
      </c>
      <c r="AA22" s="4">
        <f t="shared" si="2"/>
        <v>3</v>
      </c>
      <c r="AB22" s="4">
        <f t="shared" si="3"/>
        <v>0.91666666666667673</v>
      </c>
      <c r="AC22" s="13">
        <f t="shared" si="4"/>
        <v>4</v>
      </c>
      <c r="AD22" s="15">
        <f t="shared" si="5"/>
        <v>74.999999999999986</v>
      </c>
      <c r="AG22" s="18">
        <v>0</v>
      </c>
      <c r="AH22" s="19">
        <f t="shared" si="6"/>
        <v>30</v>
      </c>
      <c r="AI22" s="19">
        <f t="shared" si="7"/>
        <v>240</v>
      </c>
      <c r="AJ22" s="20">
        <f t="shared" si="15"/>
        <v>62</v>
      </c>
      <c r="AK22" s="19">
        <f t="shared" si="25"/>
        <v>62</v>
      </c>
      <c r="AL22" s="19">
        <f t="shared" si="17"/>
        <v>96</v>
      </c>
      <c r="AM22" s="19">
        <f t="shared" si="18"/>
        <v>96</v>
      </c>
      <c r="AN22" s="19">
        <f t="shared" si="26"/>
        <v>237</v>
      </c>
      <c r="AO22" s="19">
        <f t="shared" si="19"/>
        <v>168.5</v>
      </c>
      <c r="AP22" s="19">
        <f t="shared" si="20"/>
        <v>241</v>
      </c>
      <c r="AQ22" s="19">
        <f t="shared" si="21"/>
        <v>425</v>
      </c>
      <c r="AR22" s="47">
        <f t="shared" si="22"/>
        <v>-155.44</v>
      </c>
      <c r="AS22">
        <f t="shared" si="9"/>
        <v>-225</v>
      </c>
    </row>
    <row r="23" spans="1:46">
      <c r="A23" s="30">
        <f t="shared" si="0"/>
        <v>45830</v>
      </c>
      <c r="B23" s="31">
        <v>45830</v>
      </c>
      <c r="C23" s="32" t="s">
        <v>43</v>
      </c>
      <c r="D23" s="33">
        <v>0</v>
      </c>
      <c r="E23" s="35">
        <f t="shared" si="10"/>
        <v>2.0833333333333332E-2</v>
      </c>
      <c r="F23" s="34">
        <v>30</v>
      </c>
      <c r="G23" s="33">
        <v>0.16666666666666666</v>
      </c>
      <c r="H23" s="36">
        <f t="shared" si="11"/>
        <v>210</v>
      </c>
      <c r="I23" s="37">
        <f t="shared" si="12"/>
        <v>0.16249999999999998</v>
      </c>
      <c r="J23" s="4">
        <v>5</v>
      </c>
      <c r="K23" s="7"/>
      <c r="L23" s="2">
        <v>3.1944444444444442E-2</v>
      </c>
      <c r="M23" s="45">
        <v>5.7638888888888892E-2</v>
      </c>
      <c r="N23" s="46">
        <v>0.15902777777777777</v>
      </c>
      <c r="O23" s="45">
        <v>0.1620486111111111</v>
      </c>
      <c r="P23" s="47">
        <v>1.9096</v>
      </c>
      <c r="Q23" t="s">
        <v>44</v>
      </c>
      <c r="R23" t="s">
        <v>45</v>
      </c>
      <c r="S23" t="s">
        <v>45</v>
      </c>
      <c r="T23" t="s">
        <v>45</v>
      </c>
      <c r="U23" s="7"/>
      <c r="V23" s="13">
        <f t="shared" si="13"/>
        <v>37.000000000000007</v>
      </c>
      <c r="W23" s="13">
        <f t="shared" si="13"/>
        <v>145.99999999999997</v>
      </c>
      <c r="X23" s="40">
        <f t="shared" si="14"/>
        <v>46</v>
      </c>
      <c r="Y23" s="4">
        <f t="shared" si="14"/>
        <v>53.000000000000014</v>
      </c>
      <c r="Z23" s="4">
        <f t="shared" si="1"/>
        <v>-11</v>
      </c>
      <c r="AA23" s="4">
        <f t="shared" si="2"/>
        <v>-18.000000000000028</v>
      </c>
      <c r="AB23" s="4">
        <f t="shared" si="3"/>
        <v>-6.65</v>
      </c>
      <c r="AC23" s="13">
        <f t="shared" si="4"/>
        <v>4</v>
      </c>
      <c r="AD23" s="15">
        <f t="shared" si="5"/>
        <v>57</v>
      </c>
      <c r="AG23" s="18">
        <v>0</v>
      </c>
      <c r="AH23" s="19">
        <f t="shared" si="6"/>
        <v>30</v>
      </c>
      <c r="AI23" s="19">
        <f t="shared" si="7"/>
        <v>240</v>
      </c>
      <c r="AJ23" s="20">
        <f t="shared" si="15"/>
        <v>36</v>
      </c>
      <c r="AK23" s="19">
        <f t="shared" si="25"/>
        <v>36</v>
      </c>
      <c r="AL23" s="19">
        <f t="shared" si="17"/>
        <v>83.000000000000014</v>
      </c>
      <c r="AM23" s="19">
        <f t="shared" si="18"/>
        <v>83.000000000000014</v>
      </c>
      <c r="AN23" s="19">
        <f t="shared" si="26"/>
        <v>229</v>
      </c>
      <c r="AO23" s="19">
        <f t="shared" si="19"/>
        <v>164.5</v>
      </c>
      <c r="AP23" s="19">
        <f t="shared" si="20"/>
        <v>233</v>
      </c>
      <c r="AQ23" s="19">
        <f t="shared" si="21"/>
        <v>407</v>
      </c>
      <c r="AR23" s="47">
        <f t="shared" si="22"/>
        <v>-154.51999999999998</v>
      </c>
      <c r="AS23">
        <f t="shared" si="9"/>
        <v>-225</v>
      </c>
    </row>
    <row r="24" spans="1:46">
      <c r="A24" s="30">
        <f t="shared" si="0"/>
        <v>45831</v>
      </c>
      <c r="B24" s="31">
        <v>45831</v>
      </c>
      <c r="C24" s="32" t="s">
        <v>43</v>
      </c>
      <c r="D24" s="33">
        <v>0</v>
      </c>
      <c r="E24" s="35">
        <f t="shared" si="10"/>
        <v>2.0833333333333332E-2</v>
      </c>
      <c r="F24" s="34">
        <v>30</v>
      </c>
      <c r="G24" s="33">
        <v>0.16666666666666666</v>
      </c>
      <c r="H24" s="36">
        <f t="shared" si="11"/>
        <v>210</v>
      </c>
      <c r="I24" s="37">
        <f t="shared" si="12"/>
        <v>0.16249999999999998</v>
      </c>
      <c r="J24" s="4">
        <v>5</v>
      </c>
      <c r="K24" s="7"/>
      <c r="L24" s="2">
        <v>0.05</v>
      </c>
      <c r="M24" s="45">
        <v>6.25E-2</v>
      </c>
      <c r="N24" s="46">
        <v>0.15902777777777777</v>
      </c>
      <c r="O24" s="45">
        <v>0.16174768518518517</v>
      </c>
      <c r="P24" s="47">
        <v>1.8804000000000001</v>
      </c>
      <c r="Q24" t="s">
        <v>44</v>
      </c>
      <c r="R24" t="s">
        <v>45</v>
      </c>
      <c r="S24" t="s">
        <v>45</v>
      </c>
      <c r="T24" t="s">
        <v>45</v>
      </c>
      <c r="U24" s="7"/>
      <c r="V24" s="13">
        <f t="shared" si="13"/>
        <v>17.999999999999996</v>
      </c>
      <c r="W24" s="13">
        <f t="shared" si="13"/>
        <v>139</v>
      </c>
      <c r="X24" s="40">
        <f t="shared" si="14"/>
        <v>72</v>
      </c>
      <c r="Y24" s="4">
        <f t="shared" si="14"/>
        <v>60.000000000000007</v>
      </c>
      <c r="Z24" s="4">
        <f t="shared" si="1"/>
        <v>-11</v>
      </c>
      <c r="AA24" s="4">
        <f t="shared" si="2"/>
        <v>1</v>
      </c>
      <c r="AB24" s="4">
        <f t="shared" si="3"/>
        <v>-7.0833333333333348</v>
      </c>
      <c r="AC24" s="13">
        <f t="shared" si="4"/>
        <v>4</v>
      </c>
      <c r="AD24" s="15">
        <f t="shared" si="5"/>
        <v>83</v>
      </c>
      <c r="AG24" s="18">
        <v>0</v>
      </c>
      <c r="AH24" s="19">
        <f t="shared" si="6"/>
        <v>30</v>
      </c>
      <c r="AI24" s="19">
        <f t="shared" si="7"/>
        <v>240</v>
      </c>
      <c r="AJ24" s="20">
        <f t="shared" si="15"/>
        <v>62</v>
      </c>
      <c r="AK24" s="19">
        <f t="shared" si="25"/>
        <v>62</v>
      </c>
      <c r="AL24" s="19">
        <f t="shared" si="17"/>
        <v>90</v>
      </c>
      <c r="AM24" s="19">
        <f t="shared" si="18"/>
        <v>90</v>
      </c>
      <c r="AN24" s="19">
        <f t="shared" si="26"/>
        <v>229</v>
      </c>
      <c r="AO24" s="19">
        <f t="shared" si="19"/>
        <v>164.5</v>
      </c>
      <c r="AP24" s="19">
        <f t="shared" si="20"/>
        <v>233</v>
      </c>
      <c r="AQ24" s="19">
        <f t="shared" si="21"/>
        <v>433</v>
      </c>
      <c r="AR24" s="47">
        <f t="shared" si="22"/>
        <v>-155.97999999999999</v>
      </c>
      <c r="AS24">
        <f t="shared" si="9"/>
        <v>-225</v>
      </c>
    </row>
    <row r="25" spans="1:46">
      <c r="A25" s="30">
        <f t="shared" si="0"/>
        <v>45832</v>
      </c>
      <c r="B25" s="31">
        <v>45832</v>
      </c>
      <c r="C25" s="32" t="s">
        <v>43</v>
      </c>
      <c r="D25" s="33">
        <v>0</v>
      </c>
      <c r="E25" s="35">
        <f t="shared" si="10"/>
        <v>2.0833333333333332E-2</v>
      </c>
      <c r="F25" s="34">
        <v>30</v>
      </c>
      <c r="G25" s="33">
        <v>0.16666666666666666</v>
      </c>
      <c r="H25" s="36">
        <f t="shared" si="11"/>
        <v>210</v>
      </c>
      <c r="I25" s="37">
        <f t="shared" si="12"/>
        <v>0.15069444444444444</v>
      </c>
      <c r="J25" s="4">
        <v>5</v>
      </c>
      <c r="K25" s="7"/>
      <c r="L25" s="2">
        <v>0.05</v>
      </c>
      <c r="M25" s="45">
        <v>6.0416666666666667E-2</v>
      </c>
      <c r="N25" s="46">
        <v>0.14722222222222223</v>
      </c>
      <c r="O25" s="45">
        <v>0.15024305555555556</v>
      </c>
      <c r="P25" s="47">
        <v>1.8819999999999999</v>
      </c>
      <c r="Q25" t="s">
        <v>45</v>
      </c>
      <c r="R25" t="s">
        <v>45</v>
      </c>
      <c r="S25" t="s">
        <v>45</v>
      </c>
      <c r="T25" t="s">
        <v>45</v>
      </c>
      <c r="U25" s="7"/>
      <c r="V25" s="13">
        <f t="shared" si="13"/>
        <v>14.999999999999996</v>
      </c>
      <c r="W25" s="13">
        <f t="shared" si="13"/>
        <v>125</v>
      </c>
      <c r="X25" s="40">
        <f t="shared" si="14"/>
        <v>72</v>
      </c>
      <c r="Y25" s="4">
        <f t="shared" si="14"/>
        <v>57</v>
      </c>
      <c r="Z25" s="4">
        <f t="shared" si="1"/>
        <v>-27.999999999999979</v>
      </c>
      <c r="AA25" s="4">
        <f t="shared" si="2"/>
        <v>-13</v>
      </c>
      <c r="AB25" s="4">
        <f t="shared" si="3"/>
        <v>-23.649999999999981</v>
      </c>
      <c r="AC25" s="13">
        <f t="shared" si="4"/>
        <v>4</v>
      </c>
      <c r="AD25" s="15">
        <f t="shared" si="5"/>
        <v>99.999999999999972</v>
      </c>
      <c r="AG25" s="18">
        <v>0</v>
      </c>
      <c r="AH25" s="19">
        <f t="shared" si="6"/>
        <v>30</v>
      </c>
      <c r="AI25" s="19">
        <f t="shared" si="7"/>
        <v>240</v>
      </c>
      <c r="AJ25" s="20">
        <f t="shared" si="15"/>
        <v>62</v>
      </c>
      <c r="AK25" s="19">
        <f t="shared" si="25"/>
        <v>62</v>
      </c>
      <c r="AL25" s="19">
        <f t="shared" si="17"/>
        <v>87</v>
      </c>
      <c r="AM25" s="19">
        <f t="shared" si="18"/>
        <v>87</v>
      </c>
      <c r="AN25" s="19">
        <f t="shared" si="26"/>
        <v>212</v>
      </c>
      <c r="AO25" s="19">
        <f t="shared" si="19"/>
        <v>156</v>
      </c>
      <c r="AP25" s="19">
        <f t="shared" si="20"/>
        <v>216</v>
      </c>
      <c r="AQ25" s="19">
        <f t="shared" si="21"/>
        <v>450</v>
      </c>
      <c r="AR25" s="47">
        <f t="shared" si="22"/>
        <v>-155.9</v>
      </c>
    </row>
    <row r="26" spans="1:46">
      <c r="A26" s="30">
        <f t="shared" si="0"/>
        <v>45833</v>
      </c>
      <c r="B26" s="31">
        <v>45833</v>
      </c>
      <c r="C26" s="32" t="s">
        <v>43</v>
      </c>
      <c r="D26" s="33">
        <v>0</v>
      </c>
      <c r="E26" s="35">
        <f t="shared" si="10"/>
        <v>2.0833333333333332E-2</v>
      </c>
      <c r="F26" s="34">
        <v>30</v>
      </c>
      <c r="G26" s="33">
        <v>0.16666666666666666</v>
      </c>
      <c r="H26" s="36">
        <f t="shared" si="11"/>
        <v>210</v>
      </c>
      <c r="I26" s="37">
        <f t="shared" si="12"/>
        <v>0.12638888888888888</v>
      </c>
      <c r="J26" s="4">
        <v>5</v>
      </c>
      <c r="K26" s="7"/>
      <c r="L26" s="2">
        <v>2.5694444444444443E-2</v>
      </c>
      <c r="M26" s="45">
        <v>4.3749999999999997E-2</v>
      </c>
      <c r="N26" s="46">
        <v>0.12291666666666666</v>
      </c>
      <c r="O26" s="45">
        <v>0.12497685185185184</v>
      </c>
      <c r="P26" s="47">
        <v>1.8853</v>
      </c>
      <c r="Q26" t="s">
        <v>45</v>
      </c>
      <c r="R26" t="s">
        <v>45</v>
      </c>
      <c r="S26" t="s">
        <v>45</v>
      </c>
      <c r="T26" t="s">
        <v>45</v>
      </c>
      <c r="U26" s="7"/>
      <c r="V26" s="13">
        <f t="shared" si="13"/>
        <v>25.999999999999996</v>
      </c>
      <c r="W26" s="13">
        <f t="shared" si="13"/>
        <v>114</v>
      </c>
      <c r="X26" s="40">
        <f t="shared" si="14"/>
        <v>37</v>
      </c>
      <c r="Y26" s="4">
        <f t="shared" si="14"/>
        <v>33</v>
      </c>
      <c r="Z26" s="4">
        <f t="shared" si="1"/>
        <v>-62.999999999999993</v>
      </c>
      <c r="AA26" s="4">
        <f t="shared" si="2"/>
        <v>-59</v>
      </c>
      <c r="AB26" s="4">
        <f t="shared" si="3"/>
        <v>-60.033333333333339</v>
      </c>
      <c r="AC26" s="13">
        <f t="shared" si="4"/>
        <v>3</v>
      </c>
      <c r="AD26" s="15">
        <f t="shared" si="5"/>
        <v>100</v>
      </c>
      <c r="AG26" s="18">
        <v>0</v>
      </c>
      <c r="AH26" s="19">
        <f t="shared" si="6"/>
        <v>30</v>
      </c>
      <c r="AI26" s="19">
        <f t="shared" si="7"/>
        <v>240</v>
      </c>
      <c r="AJ26" s="20">
        <f t="shared" si="15"/>
        <v>27</v>
      </c>
      <c r="AK26" s="19">
        <f t="shared" si="25"/>
        <v>27</v>
      </c>
      <c r="AL26" s="19">
        <f t="shared" si="17"/>
        <v>63</v>
      </c>
      <c r="AM26" s="19">
        <f t="shared" si="18"/>
        <v>63</v>
      </c>
      <c r="AN26" s="19">
        <f t="shared" si="26"/>
        <v>177</v>
      </c>
      <c r="AO26" s="19">
        <f t="shared" si="19"/>
        <v>138.5</v>
      </c>
      <c r="AP26" s="19">
        <f t="shared" si="20"/>
        <v>180</v>
      </c>
      <c r="AQ26" s="19">
        <f t="shared" si="21"/>
        <v>450</v>
      </c>
      <c r="AR26" s="47">
        <f t="shared" si="22"/>
        <v>-155.73500000000001</v>
      </c>
    </row>
    <row r="27" spans="1:46">
      <c r="A27" s="30">
        <f t="shared" si="0"/>
        <v>45834</v>
      </c>
      <c r="B27" s="31">
        <v>45834</v>
      </c>
      <c r="C27" s="32" t="s">
        <v>43</v>
      </c>
      <c r="D27" s="33">
        <v>0</v>
      </c>
      <c r="E27" s="35">
        <f t="shared" si="10"/>
        <v>2.0833333333333332E-2</v>
      </c>
      <c r="F27" s="34">
        <v>30</v>
      </c>
      <c r="G27" s="33">
        <v>0.16666666666666666</v>
      </c>
      <c r="H27" s="36">
        <f t="shared" si="11"/>
        <v>210</v>
      </c>
      <c r="I27" s="37">
        <f t="shared" si="12"/>
        <v>0.15277777777777776</v>
      </c>
      <c r="J27" s="4">
        <v>5</v>
      </c>
      <c r="K27" s="7"/>
      <c r="L27" s="2">
        <v>4.0972222222222222E-2</v>
      </c>
      <c r="M27" s="45">
        <v>5.5555555555555552E-2</v>
      </c>
      <c r="N27" s="46">
        <v>0.14930555555555555</v>
      </c>
      <c r="O27" s="45">
        <v>0.15136574074074075</v>
      </c>
      <c r="P27" s="47">
        <v>1.8842000000000001</v>
      </c>
      <c r="Q27" t="s">
        <v>44</v>
      </c>
      <c r="R27" t="s">
        <v>45</v>
      </c>
      <c r="S27" t="s">
        <v>45</v>
      </c>
      <c r="T27" t="s">
        <v>45</v>
      </c>
      <c r="U27" s="7"/>
      <c r="V27" s="13">
        <f t="shared" si="13"/>
        <v>20.999999999999996</v>
      </c>
      <c r="W27" s="13">
        <f t="shared" si="13"/>
        <v>135</v>
      </c>
      <c r="X27" s="40">
        <f t="shared" si="14"/>
        <v>59</v>
      </c>
      <c r="Y27" s="4">
        <f t="shared" si="14"/>
        <v>50</v>
      </c>
      <c r="Z27" s="4">
        <f t="shared" si="1"/>
        <v>-24.999999999999993</v>
      </c>
      <c r="AA27" s="4">
        <f t="shared" si="2"/>
        <v>-16</v>
      </c>
      <c r="AB27" s="4">
        <f t="shared" si="3"/>
        <v>-22.033333333333314</v>
      </c>
      <c r="AC27" s="13">
        <f t="shared" si="4"/>
        <v>3</v>
      </c>
      <c r="AD27" s="15">
        <f t="shared" si="5"/>
        <v>84</v>
      </c>
      <c r="AG27" s="18">
        <v>0</v>
      </c>
      <c r="AH27" s="19">
        <f t="shared" si="6"/>
        <v>30</v>
      </c>
      <c r="AI27" s="19">
        <f t="shared" si="7"/>
        <v>240</v>
      </c>
      <c r="AJ27" s="20">
        <f t="shared" si="15"/>
        <v>49</v>
      </c>
      <c r="AK27" s="19">
        <f t="shared" si="25"/>
        <v>49</v>
      </c>
      <c r="AL27" s="19">
        <f t="shared" si="17"/>
        <v>80</v>
      </c>
      <c r="AM27" s="19">
        <f t="shared" si="18"/>
        <v>80</v>
      </c>
      <c r="AN27" s="19">
        <f t="shared" si="26"/>
        <v>215</v>
      </c>
      <c r="AO27" s="19">
        <f t="shared" si="19"/>
        <v>157.5</v>
      </c>
      <c r="AP27" s="19">
        <f t="shared" si="20"/>
        <v>218</v>
      </c>
      <c r="AQ27" s="19">
        <f t="shared" si="21"/>
        <v>434</v>
      </c>
      <c r="AR27" s="47">
        <f t="shared" si="22"/>
        <v>-155.79</v>
      </c>
      <c r="AS27">
        <f t="shared" si="9"/>
        <v>-225</v>
      </c>
    </row>
    <row r="28" spans="1:46">
      <c r="A28" s="30">
        <f t="shared" si="0"/>
        <v>45835</v>
      </c>
      <c r="B28" s="31">
        <v>45835</v>
      </c>
      <c r="C28" s="32" t="s">
        <v>43</v>
      </c>
      <c r="D28" s="33">
        <v>0</v>
      </c>
      <c r="E28" s="35">
        <f t="shared" si="10"/>
        <v>2.0833333333333332E-2</v>
      </c>
      <c r="F28" s="34">
        <v>30</v>
      </c>
      <c r="G28" s="33">
        <v>0.16666666666666699</v>
      </c>
      <c r="H28" s="36">
        <f t="shared" si="11"/>
        <v>210.00000000000045</v>
      </c>
      <c r="I28" s="37">
        <f t="shared" si="12"/>
        <v>0.15277777777777776</v>
      </c>
      <c r="J28" s="4">
        <v>5</v>
      </c>
      <c r="K28" s="7"/>
      <c r="L28" s="2">
        <v>2.7777777777777776E-2</v>
      </c>
      <c r="M28" s="45">
        <v>4.791666666666667E-2</v>
      </c>
      <c r="N28" s="46">
        <v>0.14930555555555555</v>
      </c>
      <c r="O28" s="45">
        <v>0.15232638888888889</v>
      </c>
      <c r="P28" s="47">
        <v>1.891</v>
      </c>
      <c r="Q28" t="s">
        <v>44</v>
      </c>
      <c r="R28" t="s">
        <v>45</v>
      </c>
      <c r="S28" t="s">
        <v>45</v>
      </c>
      <c r="T28" t="s">
        <v>45</v>
      </c>
      <c r="U28" s="7"/>
      <c r="V28" s="13">
        <f t="shared" si="13"/>
        <v>29.000000000000007</v>
      </c>
      <c r="W28" s="13">
        <f t="shared" si="13"/>
        <v>146</v>
      </c>
      <c r="X28" s="40">
        <f t="shared" si="14"/>
        <v>40</v>
      </c>
      <c r="Y28" s="4">
        <f t="shared" si="14"/>
        <v>39.000000000000007</v>
      </c>
      <c r="Z28" s="4">
        <f t="shared" si="1"/>
        <v>-25.000000000000469</v>
      </c>
      <c r="AA28" s="4">
        <f t="shared" si="2"/>
        <v>-24.000000000000455</v>
      </c>
      <c r="AB28" s="4">
        <f t="shared" si="3"/>
        <v>-20.650000000000471</v>
      </c>
      <c r="AC28" s="13">
        <f t="shared" si="4"/>
        <v>4</v>
      </c>
      <c r="AD28" s="15">
        <f t="shared" si="5"/>
        <v>65.000000000000469</v>
      </c>
      <c r="AG28" s="18">
        <v>0</v>
      </c>
      <c r="AH28" s="19">
        <f t="shared" si="6"/>
        <v>30</v>
      </c>
      <c r="AI28" s="19">
        <f t="shared" si="7"/>
        <v>240.00000000000045</v>
      </c>
      <c r="AJ28" s="20">
        <f t="shared" si="15"/>
        <v>30</v>
      </c>
      <c r="AK28" s="19">
        <f t="shared" si="25"/>
        <v>30</v>
      </c>
      <c r="AL28" s="19">
        <f t="shared" si="17"/>
        <v>69</v>
      </c>
      <c r="AM28" s="19">
        <f t="shared" si="18"/>
        <v>69</v>
      </c>
      <c r="AN28" s="19">
        <f t="shared" si="26"/>
        <v>215</v>
      </c>
      <c r="AO28" s="19">
        <f t="shared" si="19"/>
        <v>157.5</v>
      </c>
      <c r="AP28" s="19">
        <f t="shared" si="20"/>
        <v>219</v>
      </c>
      <c r="AQ28" s="19">
        <f t="shared" si="21"/>
        <v>415.00000000000045</v>
      </c>
      <c r="AR28" s="47">
        <f t="shared" si="22"/>
        <v>-155.44999999999999</v>
      </c>
      <c r="AS28">
        <f t="shared" si="9"/>
        <v>-225</v>
      </c>
    </row>
    <row r="29" spans="1:46">
      <c r="A29" s="30">
        <f t="shared" si="0"/>
        <v>45836</v>
      </c>
      <c r="B29" s="31">
        <v>45836</v>
      </c>
      <c r="C29" s="32" t="s">
        <v>43</v>
      </c>
      <c r="D29" s="33">
        <v>0</v>
      </c>
      <c r="E29" s="35">
        <f t="shared" si="10"/>
        <v>2.0833333333333332E-2</v>
      </c>
      <c r="F29" s="34">
        <v>30</v>
      </c>
      <c r="G29" s="33">
        <v>0.16666666666666666</v>
      </c>
      <c r="H29" s="36">
        <f t="shared" si="11"/>
        <v>210</v>
      </c>
      <c r="I29" s="37">
        <f t="shared" si="12"/>
        <v>0.15972222222222221</v>
      </c>
      <c r="J29" s="4">
        <v>5</v>
      </c>
      <c r="K29" s="7"/>
      <c r="L29" s="2">
        <v>4.0972222222222222E-2</v>
      </c>
      <c r="M29" s="45">
        <v>6.0416666666666667E-2</v>
      </c>
      <c r="N29" s="46">
        <v>0.15625</v>
      </c>
      <c r="O29" s="45">
        <v>0.15831018518518519</v>
      </c>
      <c r="P29" s="47">
        <v>2.6924999999999999</v>
      </c>
      <c r="Q29" t="s">
        <v>44</v>
      </c>
      <c r="R29" t="s">
        <v>45</v>
      </c>
      <c r="S29" t="s">
        <v>45</v>
      </c>
      <c r="T29" t="s">
        <v>45</v>
      </c>
      <c r="U29" s="7"/>
      <c r="V29" s="13">
        <f t="shared" si="13"/>
        <v>28</v>
      </c>
      <c r="W29" s="13">
        <f t="shared" si="13"/>
        <v>138</v>
      </c>
      <c r="X29" s="40">
        <f t="shared" si="14"/>
        <v>59</v>
      </c>
      <c r="Y29" s="4">
        <f t="shared" si="14"/>
        <v>57</v>
      </c>
      <c r="Z29" s="4">
        <f t="shared" si="1"/>
        <v>-14.999999999999986</v>
      </c>
      <c r="AA29" s="4">
        <f t="shared" si="2"/>
        <v>-13</v>
      </c>
      <c r="AB29" s="4">
        <f t="shared" si="3"/>
        <v>-12.03333333333331</v>
      </c>
      <c r="AC29" s="13">
        <f t="shared" si="4"/>
        <v>3</v>
      </c>
      <c r="AD29" s="15">
        <f t="shared" si="5"/>
        <v>73.999999999999986</v>
      </c>
      <c r="AG29" s="18">
        <v>0</v>
      </c>
      <c r="AH29" s="19">
        <f t="shared" si="6"/>
        <v>30</v>
      </c>
      <c r="AI29" s="19">
        <f t="shared" si="7"/>
        <v>240</v>
      </c>
      <c r="AJ29" s="20">
        <f t="shared" si="15"/>
        <v>49</v>
      </c>
      <c r="AK29" s="19">
        <f t="shared" si="25"/>
        <v>49</v>
      </c>
      <c r="AL29" s="19">
        <f t="shared" si="17"/>
        <v>87</v>
      </c>
      <c r="AM29" s="19">
        <f t="shared" si="18"/>
        <v>87</v>
      </c>
      <c r="AN29" s="19">
        <f t="shared" si="26"/>
        <v>225</v>
      </c>
      <c r="AO29" s="19">
        <f t="shared" si="19"/>
        <v>162.5</v>
      </c>
      <c r="AP29" s="19">
        <f t="shared" si="20"/>
        <v>228</v>
      </c>
      <c r="AQ29" s="19">
        <f t="shared" si="21"/>
        <v>424</v>
      </c>
      <c r="AR29" s="47">
        <f t="shared" si="22"/>
        <v>-115.375</v>
      </c>
      <c r="AS29">
        <f t="shared" si="9"/>
        <v>-225</v>
      </c>
    </row>
    <row r="30" spans="1:46">
      <c r="A30" s="30">
        <f t="shared" si="0"/>
        <v>45837</v>
      </c>
      <c r="B30" s="31">
        <v>45837</v>
      </c>
      <c r="C30" s="32" t="s">
        <v>43</v>
      </c>
      <c r="D30" s="33">
        <v>0</v>
      </c>
      <c r="E30" s="35">
        <f t="shared" si="10"/>
        <v>2.0833333333333332E-2</v>
      </c>
      <c r="F30" s="34">
        <v>30</v>
      </c>
      <c r="G30" s="33">
        <v>0.16666666666666666</v>
      </c>
      <c r="H30" s="36">
        <f t="shared" si="11"/>
        <v>210</v>
      </c>
      <c r="I30" s="37">
        <f t="shared" si="12"/>
        <v>0.17152777777777778</v>
      </c>
      <c r="J30" s="4">
        <v>5</v>
      </c>
      <c r="K30" s="7"/>
      <c r="L30" s="2">
        <v>5.7638888888888892E-2</v>
      </c>
      <c r="M30" s="45">
        <v>6.5972222222222224E-2</v>
      </c>
      <c r="N30" s="46">
        <v>0.16805555555555557</v>
      </c>
      <c r="O30" s="45">
        <v>0.1710763888888889</v>
      </c>
      <c r="P30" s="47">
        <v>1.9097999999999999</v>
      </c>
      <c r="Q30" t="s">
        <v>45</v>
      </c>
      <c r="R30" t="s">
        <v>45</v>
      </c>
      <c r="S30" t="s">
        <v>45</v>
      </c>
      <c r="T30" t="s">
        <v>45</v>
      </c>
      <c r="U30" s="7"/>
      <c r="V30" s="13">
        <f t="shared" si="13"/>
        <v>11.999999999999996</v>
      </c>
      <c r="W30" s="13">
        <f t="shared" si="13"/>
        <v>147.00000000000003</v>
      </c>
      <c r="X30" s="40">
        <f t="shared" si="14"/>
        <v>83</v>
      </c>
      <c r="Y30" s="4">
        <f t="shared" si="14"/>
        <v>65.000000000000014</v>
      </c>
      <c r="Z30" s="4">
        <f t="shared" si="1"/>
        <v>2.0000000000000329</v>
      </c>
      <c r="AA30" s="4">
        <f t="shared" si="2"/>
        <v>20.000000000000028</v>
      </c>
      <c r="AB30" s="4">
        <f t="shared" si="3"/>
        <v>6.3500000000000334</v>
      </c>
      <c r="AC30" s="13">
        <f t="shared" si="4"/>
        <v>4</v>
      </c>
      <c r="AD30" s="15">
        <f t="shared" si="5"/>
        <v>80.999999999999972</v>
      </c>
      <c r="AG30" s="18">
        <v>0</v>
      </c>
      <c r="AH30" s="19">
        <f t="shared" si="6"/>
        <v>30</v>
      </c>
      <c r="AI30" s="19">
        <f t="shared" si="7"/>
        <v>240</v>
      </c>
      <c r="AJ30" s="20">
        <f t="shared" si="15"/>
        <v>73</v>
      </c>
      <c r="AK30" s="19">
        <f t="shared" si="25"/>
        <v>73</v>
      </c>
      <c r="AL30" s="19">
        <f t="shared" si="17"/>
        <v>95.000000000000014</v>
      </c>
      <c r="AM30" s="19">
        <f t="shared" si="18"/>
        <v>95.000000000000014</v>
      </c>
      <c r="AN30" s="19">
        <f t="shared" si="26"/>
        <v>242.00000000000006</v>
      </c>
      <c r="AO30" s="19">
        <f t="shared" si="19"/>
        <v>171.00000000000003</v>
      </c>
      <c r="AP30" s="19">
        <f t="shared" si="20"/>
        <v>246.00000000000006</v>
      </c>
      <c r="AQ30" s="19">
        <f t="shared" si="21"/>
        <v>431</v>
      </c>
      <c r="AR30" s="47">
        <f t="shared" si="22"/>
        <v>-154.51</v>
      </c>
      <c r="AS30">
        <f t="shared" si="9"/>
        <v>0</v>
      </c>
      <c r="AT30">
        <f t="shared" ref="AT30" si="27">IF(R30="Yes",-210,0)</f>
        <v>0</v>
      </c>
    </row>
    <row r="31" spans="1:46">
      <c r="A31" s="30">
        <f t="shared" si="0"/>
        <v>45838</v>
      </c>
      <c r="B31" s="31">
        <v>45838</v>
      </c>
      <c r="C31" s="32" t="s">
        <v>43</v>
      </c>
      <c r="D31" s="33">
        <v>0</v>
      </c>
      <c r="E31" s="35">
        <f t="shared" si="10"/>
        <v>2.0833333333333332E-2</v>
      </c>
      <c r="F31" s="34">
        <v>30</v>
      </c>
      <c r="G31" s="33">
        <v>0.16666666666666666</v>
      </c>
      <c r="H31" s="36">
        <f t="shared" si="11"/>
        <v>210</v>
      </c>
      <c r="I31" s="37">
        <f t="shared" si="12"/>
        <v>0.13124999999999998</v>
      </c>
      <c r="J31" s="4">
        <v>5</v>
      </c>
      <c r="K31" s="7"/>
      <c r="L31" s="2">
        <v>4.5138888888888888E-2</v>
      </c>
      <c r="M31" s="45">
        <v>6.1111111111111109E-2</v>
      </c>
      <c r="N31" s="46">
        <v>0.12777777777777777</v>
      </c>
      <c r="O31" s="45">
        <v>0.12983796296296296</v>
      </c>
      <c r="P31" s="47">
        <v>1.883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3"/>
        <v>23</v>
      </c>
      <c r="W31" s="13">
        <f t="shared" si="13"/>
        <v>95.999999999999972</v>
      </c>
      <c r="X31" s="40">
        <f t="shared" si="14"/>
        <v>65</v>
      </c>
      <c r="Y31" s="4">
        <f t="shared" si="14"/>
        <v>57.999999999999993</v>
      </c>
      <c r="Z31" s="4">
        <f t="shared" si="1"/>
        <v>-56</v>
      </c>
      <c r="AA31" s="4">
        <f t="shared" si="2"/>
        <v>-49.000000000000028</v>
      </c>
      <c r="AB31" s="4">
        <f t="shared" si="3"/>
        <v>-53.033333333333324</v>
      </c>
      <c r="AC31" s="13">
        <f t="shared" si="4"/>
        <v>3</v>
      </c>
      <c r="AD31" s="15">
        <f t="shared" si="5"/>
        <v>121</v>
      </c>
      <c r="AG31" s="18">
        <v>0</v>
      </c>
      <c r="AH31" s="19">
        <f t="shared" si="6"/>
        <v>30</v>
      </c>
      <c r="AI31" s="19">
        <f t="shared" si="7"/>
        <v>240</v>
      </c>
      <c r="AJ31" s="20">
        <f t="shared" si="15"/>
        <v>55</v>
      </c>
      <c r="AK31" s="19">
        <f t="shared" si="25"/>
        <v>55</v>
      </c>
      <c r="AL31" s="19">
        <f t="shared" si="17"/>
        <v>88</v>
      </c>
      <c r="AM31" s="19">
        <f t="shared" si="18"/>
        <v>88</v>
      </c>
      <c r="AN31" s="19">
        <f t="shared" si="26"/>
        <v>183.99999999999997</v>
      </c>
      <c r="AO31" s="19">
        <f t="shared" si="19"/>
        <v>142</v>
      </c>
      <c r="AP31" s="19">
        <f t="shared" si="20"/>
        <v>186.99999999999997</v>
      </c>
      <c r="AQ31" s="19">
        <f t="shared" si="21"/>
        <v>471</v>
      </c>
      <c r="AR31" s="47">
        <f t="shared" si="22"/>
        <v>-155.85</v>
      </c>
      <c r="AS31">
        <f t="shared" si="9"/>
        <v>0</v>
      </c>
    </row>
    <row r="32" spans="1:46">
      <c r="L32" s="5">
        <f>AVERAGE(L2:L31)</f>
        <v>4.0532407407407392E-2</v>
      </c>
      <c r="M32" s="5">
        <f t="shared" ref="M32:O32" si="28">AVERAGE(M2:M31)</f>
        <v>5.5254629629629612E-2</v>
      </c>
      <c r="N32" s="5">
        <f t="shared" si="28"/>
        <v>0.1464351851851852</v>
      </c>
      <c r="O32" s="5">
        <f t="shared" si="28"/>
        <v>0.14915162037037041</v>
      </c>
      <c r="P32" s="48">
        <f>AVERAGE(P2:P31)</f>
        <v>1.9071899999999999</v>
      </c>
      <c r="Q32" s="48"/>
      <c r="R32" s="48"/>
      <c r="S32" s="48"/>
      <c r="T32" s="48"/>
      <c r="V32" s="16">
        <f>AVERAGE(V2:V31)</f>
        <v>21.2</v>
      </c>
      <c r="W32" s="14">
        <f>AVERAGE(W2:W31)</f>
        <v>131.30000000000001</v>
      </c>
      <c r="X32" s="16">
        <f>AVERAGE(X2:X31)</f>
        <v>58.366666666666667</v>
      </c>
      <c r="AD32" s="14">
        <f>AVERAGE(AD2:AD31)</f>
        <v>87.500000000000014</v>
      </c>
    </row>
    <row r="33" spans="4:43">
      <c r="O33" s="2"/>
      <c r="AG33" s="150" t="s">
        <v>30</v>
      </c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</row>
    <row r="35" spans="4:43">
      <c r="D35" s="2"/>
    </row>
    <row r="36" spans="4:43">
      <c r="D36" s="2"/>
    </row>
    <row r="37" spans="4:43">
      <c r="D37" s="2"/>
    </row>
    <row r="38" spans="4:43">
      <c r="D38" s="2"/>
    </row>
    <row r="39" spans="4:43">
      <c r="D39" s="2"/>
    </row>
    <row r="40" spans="4:43">
      <c r="D40" s="2"/>
    </row>
    <row r="41" spans="4:43">
      <c r="D41" s="2"/>
    </row>
    <row r="42" spans="4:43">
      <c r="D42" s="2"/>
    </row>
    <row r="43" spans="4:43">
      <c r="D43" s="2"/>
    </row>
    <row r="44" spans="4:43">
      <c r="D44" s="2"/>
    </row>
    <row r="45" spans="4:43">
      <c r="D45" s="2"/>
    </row>
    <row r="46" spans="4:43">
      <c r="D46" s="2"/>
    </row>
    <row r="47" spans="4:43">
      <c r="D47" s="2"/>
    </row>
  </sheetData>
  <autoFilter ref="B1:Z31" xr:uid="{00000000-0001-0000-0000-000000000000}"/>
  <mergeCells count="1">
    <mergeCell ref="AG33:AQ33"/>
  </mergeCells>
  <conditionalFormatting sqref="P2:T32 V32">
    <cfRule type="cellIs" dxfId="88" priority="1" operator="lessThanOrEqual">
      <formula>0</formula>
    </cfRule>
  </conditionalFormatting>
  <conditionalFormatting sqref="V2:V31">
    <cfRule type="cellIs" dxfId="87" priority="6" operator="greaterThan">
      <formula>$F$2</formula>
    </cfRule>
    <cfRule type="cellIs" dxfId="86" priority="7" operator="lessThanOrEqual">
      <formula>$F$2</formula>
    </cfRule>
  </conditionalFormatting>
  <conditionalFormatting sqref="W2:W31">
    <cfRule type="cellIs" dxfId="85" priority="4" operator="greaterThan">
      <formula>$H$2</formula>
    </cfRule>
    <cfRule type="cellIs" dxfId="84" priority="5" operator="lessThanOrEqual">
      <formula>$H$2</formula>
    </cfRule>
  </conditionalFormatting>
  <conditionalFormatting sqref="AC2:AC31">
    <cfRule type="cellIs" dxfId="83" priority="2" operator="greaterThan">
      <formula>5</formula>
    </cfRule>
  </conditionalFormatting>
  <conditionalFormatting sqref="AD2:AD31">
    <cfRule type="cellIs" dxfId="82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4002-444A-4D63-B175-571B45594229}">
  <dimension ref="A1:AM48"/>
  <sheetViews>
    <sheetView showGridLines="0" topLeftCell="H2" zoomScale="70" zoomScaleNormal="70" workbookViewId="0">
      <selection activeCell="Z2" sqref="Z2:Z31"/>
    </sheetView>
  </sheetViews>
  <sheetFormatPr defaultColWidth="10.453125" defaultRowHeight="14.5"/>
  <cols>
    <col min="1" max="1" width="10.453125" style="1"/>
    <col min="2" max="2" width="10.5429687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9.1796875" customWidth="1"/>
    <col min="16" max="16" width="11.453125" customWidth="1"/>
    <col min="17" max="17" width="3.54296875" customWidth="1"/>
    <col min="18" max="20" width="11.1796875" customWidth="1"/>
    <col min="21" max="21" width="13.453125" customWidth="1"/>
    <col min="22" max="26" width="11.1796875" customWidth="1"/>
    <col min="27" max="28" width="4" customWidth="1"/>
  </cols>
  <sheetData>
    <row r="1" spans="1:39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46</v>
      </c>
      <c r="M1" s="12" t="s">
        <v>47</v>
      </c>
      <c r="N1" s="8" t="s">
        <v>5</v>
      </c>
      <c r="O1" s="8" t="s">
        <v>13</v>
      </c>
      <c r="P1" s="8" t="s">
        <v>12</v>
      </c>
      <c r="Q1" s="6"/>
      <c r="R1" s="8" t="s">
        <v>14</v>
      </c>
      <c r="S1" s="21" t="s">
        <v>15</v>
      </c>
      <c r="T1" s="8" t="s">
        <v>17</v>
      </c>
      <c r="U1" s="8" t="s">
        <v>18</v>
      </c>
      <c r="V1" s="8" t="s">
        <v>16</v>
      </c>
      <c r="W1" s="8" t="s">
        <v>21</v>
      </c>
      <c r="X1" s="8" t="s">
        <v>19</v>
      </c>
      <c r="Y1" s="8" t="s">
        <v>20</v>
      </c>
      <c r="Z1" s="9" t="s">
        <v>28</v>
      </c>
      <c r="AC1" s="42" t="s">
        <v>1</v>
      </c>
      <c r="AD1" s="49" t="s">
        <v>48</v>
      </c>
      <c r="AE1" s="43" t="s">
        <v>22</v>
      </c>
      <c r="AF1" s="43" t="s">
        <v>31</v>
      </c>
      <c r="AG1" s="43" t="s">
        <v>23</v>
      </c>
      <c r="AH1" s="43" t="s">
        <v>2</v>
      </c>
      <c r="AI1" s="43" t="s">
        <v>24</v>
      </c>
      <c r="AJ1" s="43" t="s">
        <v>25</v>
      </c>
      <c r="AK1" s="43" t="s">
        <v>26</v>
      </c>
      <c r="AL1" s="17" t="s">
        <v>27</v>
      </c>
      <c r="AM1" s="17" t="s">
        <v>29</v>
      </c>
    </row>
    <row r="2" spans="1:39">
      <c r="A2" s="30">
        <v>1</v>
      </c>
      <c r="B2" s="31" t="s">
        <v>49</v>
      </c>
      <c r="C2" s="32" t="s">
        <v>50</v>
      </c>
      <c r="D2" s="33">
        <v>1.0416666666666666E-2</v>
      </c>
      <c r="E2" s="35">
        <v>3.125E-2</v>
      </c>
      <c r="F2" s="34">
        <v>30</v>
      </c>
      <c r="G2" s="33">
        <v>0.10416666666666667</v>
      </c>
      <c r="H2" s="36">
        <v>105</v>
      </c>
      <c r="I2" s="37">
        <v>0.1076388888888889</v>
      </c>
      <c r="J2" s="4">
        <v>5</v>
      </c>
      <c r="K2" s="7"/>
      <c r="L2" s="50">
        <v>3.472222222222222E-3</v>
      </c>
      <c r="M2" s="51"/>
      <c r="N2" s="52">
        <v>4.1666666666670002E-2</v>
      </c>
      <c r="O2" s="52">
        <v>8.4027777777780005E-2</v>
      </c>
      <c r="P2" s="33">
        <v>8.5416666666666669E-2</v>
      </c>
      <c r="Q2" s="7"/>
      <c r="R2" s="13">
        <f>((N2-L2)*1440)</f>
        <v>55.000000000004803</v>
      </c>
      <c r="S2" s="13">
        <f>((O2-N2)*1440)</f>
        <v>60.999999999998401</v>
      </c>
      <c r="T2" s="40">
        <f>((L2-D2)*1440)</f>
        <v>-10</v>
      </c>
      <c r="U2" s="4">
        <f>((N2-E2)*1440)</f>
        <v>15.000000000004803</v>
      </c>
      <c r="V2" s="4">
        <f>((O2-G2)*1440)</f>
        <v>-28.999999999996799</v>
      </c>
      <c r="W2" s="4">
        <f>S2-(H2-T2)</f>
        <v>-54.000000000001599</v>
      </c>
      <c r="X2" s="4">
        <f>((P2-G2)*1440)</f>
        <v>-27.000000000000004</v>
      </c>
      <c r="Y2" s="13">
        <f>((P2-O2)*1440)</f>
        <v>1.9999999999967955</v>
      </c>
      <c r="Z2" s="15">
        <f>(V2*-1)+T2</f>
        <v>18.999999999996799</v>
      </c>
      <c r="AC2" s="18">
        <v>0</v>
      </c>
      <c r="AD2" s="53"/>
      <c r="AE2" s="19">
        <f t="shared" ref="AE2:AE31" si="0">AC2+F2</f>
        <v>30</v>
      </c>
      <c r="AF2" s="19">
        <v>120</v>
      </c>
      <c r="AG2" s="19">
        <f t="shared" ref="AG2:AG31" si="1">AC2+H2+AE2</f>
        <v>135</v>
      </c>
      <c r="AH2" s="20">
        <f t="shared" ref="AH2:AH30" si="2">AC2+T2</f>
        <v>-10</v>
      </c>
      <c r="AI2" s="19">
        <f t="shared" ref="AI2:AI31" si="3">AE2+U2</f>
        <v>45.000000000004803</v>
      </c>
      <c r="AJ2" s="19">
        <f t="shared" ref="AJ2:AJ31" si="4">AI2+S2</f>
        <v>106.00000000000321</v>
      </c>
      <c r="AK2" s="19">
        <f>(AJ2/2)+50</f>
        <v>103.00000000000161</v>
      </c>
      <c r="AL2" s="19">
        <f t="shared" ref="AL2:AL31" si="5">AJ2+Y2</f>
        <v>108</v>
      </c>
      <c r="AM2" s="19">
        <f>Z2+175</f>
        <v>193.99999999999679</v>
      </c>
    </row>
    <row r="3" spans="1:39">
      <c r="A3" s="30">
        <v>2</v>
      </c>
      <c r="B3" s="31" t="s">
        <v>51</v>
      </c>
      <c r="C3" s="32" t="s">
        <v>50</v>
      </c>
      <c r="D3" s="33">
        <v>1.0416666666666666E-2</v>
      </c>
      <c r="E3" s="35">
        <v>3.125E-2</v>
      </c>
      <c r="F3" s="34">
        <v>30</v>
      </c>
      <c r="G3" s="33">
        <v>0.10416666666666667</v>
      </c>
      <c r="H3" s="36">
        <v>105</v>
      </c>
      <c r="I3" s="37">
        <v>0.1076388888888889</v>
      </c>
      <c r="J3" s="4">
        <v>5</v>
      </c>
      <c r="K3" s="7"/>
      <c r="L3" s="50">
        <v>7.6388888888888886E-3</v>
      </c>
      <c r="M3" s="51"/>
      <c r="N3" s="52">
        <v>4.3055555555560003E-2</v>
      </c>
      <c r="O3" s="52">
        <v>8.4027777777780005E-2</v>
      </c>
      <c r="P3" s="33">
        <v>8.611111111111111E-2</v>
      </c>
      <c r="Q3" s="7"/>
      <c r="R3" s="13">
        <f t="shared" ref="R3:R31" si="6">((N3-L3)*1440)</f>
        <v>51.000000000006402</v>
      </c>
      <c r="S3" s="13">
        <f t="shared" ref="S3:S31" si="7">((O3-N3)*1440)</f>
        <v>58.999999999996803</v>
      </c>
      <c r="T3" s="40">
        <f t="shared" ref="T3:T30" si="8">((L3-D3)*1440)</f>
        <v>-3.9999999999999996</v>
      </c>
      <c r="U3" s="4">
        <f t="shared" ref="U3:U31" si="9">((N3-E3)*1440)</f>
        <v>17.000000000006406</v>
      </c>
      <c r="V3" s="4">
        <f t="shared" ref="V3:V31" si="10">((O3-G3)*1440)</f>
        <v>-28.999999999996799</v>
      </c>
      <c r="W3" s="4">
        <f t="shared" ref="W3:W31" si="11">S3-(H3-T3)</f>
        <v>-50.000000000003197</v>
      </c>
      <c r="X3" s="4">
        <f t="shared" ref="X3:X31" si="12">((P3-G3)*1440)</f>
        <v>-26.000000000000007</v>
      </c>
      <c r="Y3" s="13">
        <f t="shared" ref="Y3:Y31" si="13">((P3-O3)*1440)</f>
        <v>2.9999999999967919</v>
      </c>
      <c r="Z3" s="15">
        <f t="shared" ref="Z3:Z31" si="14">(V3*-1)+T3</f>
        <v>24.999999999996799</v>
      </c>
      <c r="AC3" s="18">
        <v>0</v>
      </c>
      <c r="AD3" s="53"/>
      <c r="AE3" s="19">
        <f t="shared" si="0"/>
        <v>30</v>
      </c>
      <c r="AF3" s="19">
        <v>120</v>
      </c>
      <c r="AG3" s="19">
        <f t="shared" si="1"/>
        <v>135</v>
      </c>
      <c r="AH3" s="20">
        <f t="shared" si="2"/>
        <v>-3.9999999999999996</v>
      </c>
      <c r="AI3" s="19">
        <f t="shared" si="3"/>
        <v>47.000000000006409</v>
      </c>
      <c r="AJ3" s="19">
        <f t="shared" si="4"/>
        <v>106.00000000000321</v>
      </c>
      <c r="AK3" s="19">
        <f t="shared" ref="AK3:AK31" si="15">(AJ3/2)+50</f>
        <v>103.00000000000161</v>
      </c>
      <c r="AL3" s="19">
        <f t="shared" si="5"/>
        <v>109</v>
      </c>
      <c r="AM3" s="19">
        <f>Z3+175</f>
        <v>199.99999999999679</v>
      </c>
    </row>
    <row r="4" spans="1:39">
      <c r="A4" s="30">
        <v>3</v>
      </c>
      <c r="B4" s="31" t="s">
        <v>52</v>
      </c>
      <c r="C4" s="32" t="s">
        <v>50</v>
      </c>
      <c r="D4" s="33">
        <v>1.0416666666666666E-2</v>
      </c>
      <c r="E4" s="35">
        <v>3.125E-2</v>
      </c>
      <c r="F4" s="34">
        <v>30</v>
      </c>
      <c r="G4" s="33">
        <v>0.10416666666666667</v>
      </c>
      <c r="H4" s="36">
        <v>105</v>
      </c>
      <c r="I4" s="37">
        <v>0.1076388888888889</v>
      </c>
      <c r="J4" s="4">
        <v>5</v>
      </c>
      <c r="K4" s="7"/>
      <c r="L4" s="50">
        <v>5.5555555555555558E-3</v>
      </c>
      <c r="M4" s="51"/>
      <c r="N4" s="52">
        <v>4.1666666666670002E-2</v>
      </c>
      <c r="O4" s="52">
        <v>8.3333333333329998E-2</v>
      </c>
      <c r="P4" s="33">
        <v>8.5416666666666669E-2</v>
      </c>
      <c r="Q4" s="7"/>
      <c r="R4" s="13">
        <f>((N4-L4)*1440)</f>
        <v>52.000000000004803</v>
      </c>
      <c r="S4" s="13">
        <f>((O4-N4)*1440)</f>
        <v>59.999999999990393</v>
      </c>
      <c r="T4" s="40">
        <f t="shared" si="8"/>
        <v>-6.9999999999999991</v>
      </c>
      <c r="U4" s="4">
        <f t="shared" si="9"/>
        <v>15.000000000004803</v>
      </c>
      <c r="V4" s="4">
        <f t="shared" si="10"/>
        <v>-30.00000000000481</v>
      </c>
      <c r="W4" s="4">
        <f t="shared" si="11"/>
        <v>-52.000000000009607</v>
      </c>
      <c r="X4" s="4">
        <f t="shared" si="12"/>
        <v>-27.000000000000004</v>
      </c>
      <c r="Y4" s="13">
        <f>((P4-O4)*1440)</f>
        <v>3.0000000000048055</v>
      </c>
      <c r="Z4" s="15">
        <f t="shared" si="14"/>
        <v>23.00000000000481</v>
      </c>
      <c r="AC4" s="18">
        <v>0</v>
      </c>
      <c r="AD4" s="53"/>
      <c r="AE4" s="19">
        <f t="shared" si="0"/>
        <v>30</v>
      </c>
      <c r="AF4" s="19">
        <v>120</v>
      </c>
      <c r="AG4" s="19">
        <f t="shared" si="1"/>
        <v>135</v>
      </c>
      <c r="AH4" s="20">
        <f t="shared" si="2"/>
        <v>-6.9999999999999991</v>
      </c>
      <c r="AI4" s="19">
        <f t="shared" si="3"/>
        <v>45.000000000004803</v>
      </c>
      <c r="AJ4" s="19">
        <f t="shared" si="4"/>
        <v>104.9999999999952</v>
      </c>
      <c r="AK4" s="19">
        <f t="shared" si="15"/>
        <v>102.4999999999976</v>
      </c>
      <c r="AL4" s="19">
        <f t="shared" si="5"/>
        <v>108</v>
      </c>
      <c r="AM4" s="19">
        <f>Z4+175</f>
        <v>198.0000000000048</v>
      </c>
    </row>
    <row r="5" spans="1:39">
      <c r="A5" s="30">
        <v>4</v>
      </c>
      <c r="B5" s="31" t="s">
        <v>53</v>
      </c>
      <c r="C5" s="32" t="s">
        <v>50</v>
      </c>
      <c r="D5" s="33">
        <v>1.0416666666666666E-2</v>
      </c>
      <c r="E5" s="35">
        <v>3.125E-2</v>
      </c>
      <c r="F5" s="34">
        <v>30</v>
      </c>
      <c r="G5" s="33">
        <v>0.10416666666666667</v>
      </c>
      <c r="H5" s="36">
        <v>105</v>
      </c>
      <c r="I5" s="37">
        <v>0.1076388888888889</v>
      </c>
      <c r="J5" s="4">
        <v>5</v>
      </c>
      <c r="K5" s="7"/>
      <c r="L5" s="50">
        <v>2.2222222222222223E-2</v>
      </c>
      <c r="M5" s="51"/>
      <c r="N5" s="52">
        <v>4.2361111111110003E-2</v>
      </c>
      <c r="O5" s="52">
        <v>8.3333333333329998E-2</v>
      </c>
      <c r="P5" s="33">
        <v>8.611111111111111E-2</v>
      </c>
      <c r="Q5" s="7"/>
      <c r="R5" s="13">
        <f t="shared" ref="R5" si="16">((N5-L5)*1440)</f>
        <v>28.999999999998405</v>
      </c>
      <c r="S5" s="13">
        <f t="shared" si="7"/>
        <v>58.999999999996795</v>
      </c>
      <c r="T5" s="40">
        <f t="shared" si="8"/>
        <v>17.000000000000004</v>
      </c>
      <c r="U5" s="4">
        <f t="shared" si="9"/>
        <v>15.999999999998405</v>
      </c>
      <c r="V5" s="4">
        <f t="shared" si="10"/>
        <v>-30.00000000000481</v>
      </c>
      <c r="W5" s="4">
        <f t="shared" si="11"/>
        <v>-29.000000000003205</v>
      </c>
      <c r="X5" s="4">
        <f t="shared" si="12"/>
        <v>-26.000000000000007</v>
      </c>
      <c r="Y5" s="13">
        <f t="shared" si="13"/>
        <v>4.0000000000048015</v>
      </c>
      <c r="Z5" s="15">
        <f t="shared" si="14"/>
        <v>47.000000000004817</v>
      </c>
      <c r="AC5" s="18">
        <v>0</v>
      </c>
      <c r="AD5" s="53"/>
      <c r="AE5" s="19">
        <f t="shared" si="0"/>
        <v>30</v>
      </c>
      <c r="AF5" s="19">
        <v>120</v>
      </c>
      <c r="AG5" s="19">
        <f t="shared" si="1"/>
        <v>135</v>
      </c>
      <c r="AH5" s="20">
        <f t="shared" si="2"/>
        <v>17.000000000000004</v>
      </c>
      <c r="AI5" s="19">
        <f t="shared" si="3"/>
        <v>45.999999999998408</v>
      </c>
      <c r="AJ5" s="19">
        <f t="shared" si="4"/>
        <v>104.9999999999952</v>
      </c>
      <c r="AK5" s="19">
        <f t="shared" si="15"/>
        <v>102.4999999999976</v>
      </c>
      <c r="AL5" s="19">
        <f t="shared" si="5"/>
        <v>109</v>
      </c>
      <c r="AM5" s="19">
        <f>Z5+175</f>
        <v>222.00000000000483</v>
      </c>
    </row>
    <row r="6" spans="1:39">
      <c r="A6" s="30">
        <v>5</v>
      </c>
      <c r="B6" s="31" t="s">
        <v>54</v>
      </c>
      <c r="C6" s="32" t="s">
        <v>50</v>
      </c>
      <c r="D6" s="33">
        <v>1.0416666666666666E-2</v>
      </c>
      <c r="E6" s="35">
        <v>3.125E-2</v>
      </c>
      <c r="F6" s="34">
        <v>30</v>
      </c>
      <c r="G6" s="33">
        <v>0.10416666666666667</v>
      </c>
      <c r="H6" s="36">
        <v>105</v>
      </c>
      <c r="I6" s="37">
        <v>0.1076388888888889</v>
      </c>
      <c r="J6" s="4">
        <v>5</v>
      </c>
      <c r="K6" s="7"/>
      <c r="L6" s="50">
        <v>6.9444444444444441E-3</v>
      </c>
      <c r="M6" s="51"/>
      <c r="N6" s="52">
        <v>4.1666666666670002E-2</v>
      </c>
      <c r="O6" s="52">
        <v>8.3333333333329998E-2</v>
      </c>
      <c r="P6" s="33">
        <v>8.611111111111111E-2</v>
      </c>
      <c r="Q6" s="7"/>
      <c r="R6" s="13">
        <f t="shared" si="6"/>
        <v>50.000000000004796</v>
      </c>
      <c r="S6" s="13">
        <f t="shared" si="7"/>
        <v>59.999999999990393</v>
      </c>
      <c r="T6" s="40">
        <f t="shared" si="8"/>
        <v>-5</v>
      </c>
      <c r="U6" s="4">
        <f t="shared" si="9"/>
        <v>15.000000000004803</v>
      </c>
      <c r="V6" s="4">
        <f t="shared" si="10"/>
        <v>-30.00000000000481</v>
      </c>
      <c r="W6" s="4">
        <f t="shared" si="11"/>
        <v>-50.000000000009607</v>
      </c>
      <c r="X6" s="4">
        <f t="shared" si="12"/>
        <v>-26.000000000000007</v>
      </c>
      <c r="Y6" s="13">
        <f t="shared" si="13"/>
        <v>4.0000000000048015</v>
      </c>
      <c r="Z6" s="15">
        <f t="shared" si="14"/>
        <v>25.00000000000481</v>
      </c>
      <c r="AC6" s="18">
        <v>0</v>
      </c>
      <c r="AD6" s="53"/>
      <c r="AE6" s="19">
        <f t="shared" si="0"/>
        <v>30</v>
      </c>
      <c r="AF6" s="19">
        <v>120</v>
      </c>
      <c r="AG6" s="19">
        <f t="shared" si="1"/>
        <v>135</v>
      </c>
      <c r="AH6" s="20">
        <f t="shared" si="2"/>
        <v>-5</v>
      </c>
      <c r="AI6" s="19">
        <f t="shared" si="3"/>
        <v>45.000000000004803</v>
      </c>
      <c r="AJ6" s="19">
        <f t="shared" si="4"/>
        <v>104.9999999999952</v>
      </c>
      <c r="AK6" s="19">
        <f t="shared" si="15"/>
        <v>102.4999999999976</v>
      </c>
      <c r="AL6" s="19">
        <f t="shared" si="5"/>
        <v>109</v>
      </c>
      <c r="AM6" s="19">
        <f t="shared" ref="AM6:AM31" si="17">Z6+175</f>
        <v>200.0000000000048</v>
      </c>
    </row>
    <row r="7" spans="1:39" s="26" customFormat="1">
      <c r="A7" s="54">
        <v>6</v>
      </c>
      <c r="B7" s="31" t="s">
        <v>55</v>
      </c>
      <c r="C7" s="32" t="s">
        <v>50</v>
      </c>
      <c r="D7" s="33">
        <v>1.0416666666666666E-2</v>
      </c>
      <c r="E7" s="35">
        <v>3.125E-2</v>
      </c>
      <c r="F7" s="55">
        <v>30</v>
      </c>
      <c r="G7" s="33">
        <v>0.10416666666666667</v>
      </c>
      <c r="H7" s="36">
        <v>105</v>
      </c>
      <c r="I7" s="37">
        <v>0.1076388888888889</v>
      </c>
      <c r="J7" s="4">
        <v>5</v>
      </c>
      <c r="K7" s="56"/>
      <c r="L7" s="50">
        <v>9.0277777777777787E-3</v>
      </c>
      <c r="M7" s="51"/>
      <c r="N7" s="52">
        <v>4.1666666666670002E-2</v>
      </c>
      <c r="O7" s="52">
        <v>8.4027777777780005E-2</v>
      </c>
      <c r="P7" s="57">
        <v>8.5416666666666669E-2</v>
      </c>
      <c r="Q7" s="56"/>
      <c r="R7" s="13">
        <f t="shared" si="6"/>
        <v>47.000000000004796</v>
      </c>
      <c r="S7" s="24">
        <f t="shared" si="7"/>
        <v>60.999999999998401</v>
      </c>
      <c r="T7" s="58">
        <f t="shared" si="8"/>
        <v>-1.9999999999999978</v>
      </c>
      <c r="U7" s="23">
        <f t="shared" si="9"/>
        <v>15.000000000004803</v>
      </c>
      <c r="V7" s="23">
        <f t="shared" si="10"/>
        <v>-28.999999999996799</v>
      </c>
      <c r="W7" s="23">
        <f t="shared" si="11"/>
        <v>-46.000000000001599</v>
      </c>
      <c r="X7" s="23">
        <f t="shared" si="12"/>
        <v>-27.000000000000004</v>
      </c>
      <c r="Y7" s="24">
        <f t="shared" si="13"/>
        <v>1.9999999999967955</v>
      </c>
      <c r="Z7" s="25">
        <f t="shared" si="14"/>
        <v>26.999999999996803</v>
      </c>
      <c r="AC7" s="27">
        <v>0</v>
      </c>
      <c r="AD7" s="53"/>
      <c r="AE7" s="28">
        <f t="shared" si="0"/>
        <v>30</v>
      </c>
      <c r="AF7" s="19">
        <v>120</v>
      </c>
      <c r="AG7" s="28">
        <f t="shared" si="1"/>
        <v>135</v>
      </c>
      <c r="AH7" s="29">
        <f t="shared" si="2"/>
        <v>-1.9999999999999978</v>
      </c>
      <c r="AI7" s="28">
        <f t="shared" si="3"/>
        <v>45.000000000004803</v>
      </c>
      <c r="AJ7" s="28">
        <f t="shared" si="4"/>
        <v>106.00000000000321</v>
      </c>
      <c r="AK7" s="28">
        <f t="shared" si="15"/>
        <v>103.00000000000161</v>
      </c>
      <c r="AL7" s="28">
        <f t="shared" si="5"/>
        <v>108</v>
      </c>
      <c r="AM7" s="19">
        <f t="shared" si="17"/>
        <v>201.99999999999682</v>
      </c>
    </row>
    <row r="8" spans="1:39">
      <c r="A8" s="30">
        <v>7</v>
      </c>
      <c r="B8" s="31" t="s">
        <v>56</v>
      </c>
      <c r="C8" s="32" t="s">
        <v>50</v>
      </c>
      <c r="D8" s="33">
        <v>1.0416666666666666E-2</v>
      </c>
      <c r="E8" s="35">
        <v>3.125E-2</v>
      </c>
      <c r="F8" s="34">
        <v>30</v>
      </c>
      <c r="G8" s="33">
        <v>0.10416666666666667</v>
      </c>
      <c r="H8" s="36">
        <v>105</v>
      </c>
      <c r="I8" s="37">
        <v>0.1076388888888889</v>
      </c>
      <c r="J8" s="4">
        <v>5</v>
      </c>
      <c r="K8" s="7"/>
      <c r="L8" s="50">
        <v>9.0277777777777787E-3</v>
      </c>
      <c r="M8" s="51"/>
      <c r="N8" s="52">
        <v>4.1666666666670002E-2</v>
      </c>
      <c r="O8" s="52">
        <v>8.3333333333329998E-2</v>
      </c>
      <c r="P8" s="33">
        <v>8.611111111111111E-2</v>
      </c>
      <c r="Q8" s="7"/>
      <c r="R8" s="13">
        <f t="shared" si="6"/>
        <v>47.000000000004796</v>
      </c>
      <c r="S8" s="13">
        <f t="shared" si="7"/>
        <v>59.999999999990393</v>
      </c>
      <c r="T8" s="40">
        <f t="shared" si="8"/>
        <v>-1.9999999999999978</v>
      </c>
      <c r="U8" s="4">
        <f t="shared" si="9"/>
        <v>15.000000000004803</v>
      </c>
      <c r="V8" s="4">
        <f t="shared" si="10"/>
        <v>-30.00000000000481</v>
      </c>
      <c r="W8" s="4">
        <f t="shared" si="11"/>
        <v>-47.000000000009607</v>
      </c>
      <c r="X8" s="4">
        <f t="shared" si="12"/>
        <v>-26.000000000000007</v>
      </c>
      <c r="Y8" s="13">
        <f t="shared" si="13"/>
        <v>4.0000000000048015</v>
      </c>
      <c r="Z8" s="15">
        <f t="shared" si="14"/>
        <v>28.000000000004814</v>
      </c>
      <c r="AC8" s="18">
        <v>0</v>
      </c>
      <c r="AD8" s="53"/>
      <c r="AE8" s="19">
        <f t="shared" si="0"/>
        <v>30</v>
      </c>
      <c r="AF8" s="19">
        <v>120</v>
      </c>
      <c r="AG8" s="19">
        <f t="shared" si="1"/>
        <v>135</v>
      </c>
      <c r="AH8" s="20">
        <f t="shared" si="2"/>
        <v>-1.9999999999999978</v>
      </c>
      <c r="AI8" s="19">
        <f t="shared" si="3"/>
        <v>45.000000000004803</v>
      </c>
      <c r="AJ8" s="19">
        <f t="shared" si="4"/>
        <v>104.9999999999952</v>
      </c>
      <c r="AK8" s="19">
        <f t="shared" si="15"/>
        <v>102.4999999999976</v>
      </c>
      <c r="AL8" s="19">
        <f t="shared" si="5"/>
        <v>109</v>
      </c>
      <c r="AM8" s="19">
        <f t="shared" si="17"/>
        <v>203.0000000000048</v>
      </c>
    </row>
    <row r="9" spans="1:39" s="26" customFormat="1">
      <c r="A9" s="54">
        <v>8</v>
      </c>
      <c r="B9" s="31" t="s">
        <v>57</v>
      </c>
      <c r="C9" s="32" t="s">
        <v>50</v>
      </c>
      <c r="D9" s="33">
        <v>1.0416666666666666E-2</v>
      </c>
      <c r="E9" s="35">
        <v>3.125E-2</v>
      </c>
      <c r="F9" s="55">
        <v>30</v>
      </c>
      <c r="G9" s="33">
        <v>0.10416666666666667</v>
      </c>
      <c r="H9" s="36">
        <v>105</v>
      </c>
      <c r="I9" s="37">
        <v>0.1076388888888889</v>
      </c>
      <c r="J9" s="4">
        <v>5</v>
      </c>
      <c r="K9" s="56"/>
      <c r="L9" s="50">
        <v>1.0416666666666666E-2</v>
      </c>
      <c r="M9" s="51"/>
      <c r="N9" s="52">
        <v>4.3055555555560003E-2</v>
      </c>
      <c r="O9" s="52">
        <v>8.4027777777780005E-2</v>
      </c>
      <c r="P9" s="57">
        <v>8.611111111111111E-2</v>
      </c>
      <c r="Q9" s="56"/>
      <c r="R9" s="13">
        <f t="shared" si="6"/>
        <v>47.000000000006409</v>
      </c>
      <c r="S9" s="24">
        <f t="shared" si="7"/>
        <v>58.999999999996803</v>
      </c>
      <c r="T9" s="58">
        <f t="shared" si="8"/>
        <v>0</v>
      </c>
      <c r="U9" s="23">
        <f t="shared" si="9"/>
        <v>17.000000000006406</v>
      </c>
      <c r="V9" s="23">
        <f t="shared" si="10"/>
        <v>-28.999999999996799</v>
      </c>
      <c r="W9" s="23">
        <f t="shared" si="11"/>
        <v>-46.000000000003197</v>
      </c>
      <c r="X9" s="23">
        <f t="shared" si="12"/>
        <v>-26.000000000000007</v>
      </c>
      <c r="Y9" s="24">
        <f t="shared" si="13"/>
        <v>2.9999999999967919</v>
      </c>
      <c r="Z9" s="25">
        <f t="shared" si="14"/>
        <v>28.999999999996799</v>
      </c>
      <c r="AC9" s="27">
        <v>0</v>
      </c>
      <c r="AD9" s="53"/>
      <c r="AE9" s="28">
        <f t="shared" si="0"/>
        <v>30</v>
      </c>
      <c r="AF9" s="19">
        <v>120</v>
      </c>
      <c r="AG9" s="28">
        <f t="shared" si="1"/>
        <v>135</v>
      </c>
      <c r="AH9" s="29">
        <f t="shared" si="2"/>
        <v>0</v>
      </c>
      <c r="AI9" s="28">
        <f t="shared" si="3"/>
        <v>47.000000000006409</v>
      </c>
      <c r="AJ9" s="28">
        <f t="shared" si="4"/>
        <v>106.00000000000321</v>
      </c>
      <c r="AK9" s="28">
        <f t="shared" si="15"/>
        <v>103.00000000000161</v>
      </c>
      <c r="AL9" s="28">
        <f t="shared" si="5"/>
        <v>109</v>
      </c>
      <c r="AM9" s="19">
        <f t="shared" si="17"/>
        <v>203.99999999999679</v>
      </c>
    </row>
    <row r="10" spans="1:39" s="26" customFormat="1">
      <c r="A10" s="54">
        <v>9</v>
      </c>
      <c r="B10" s="31" t="s">
        <v>58</v>
      </c>
      <c r="C10" s="32" t="s">
        <v>50</v>
      </c>
      <c r="D10" s="33">
        <v>1.0416666666666666E-2</v>
      </c>
      <c r="E10" s="35">
        <v>3.125E-2</v>
      </c>
      <c r="F10" s="55">
        <v>30</v>
      </c>
      <c r="G10" s="33">
        <v>0.10416666666666667</v>
      </c>
      <c r="H10" s="36">
        <v>105</v>
      </c>
      <c r="I10" s="37">
        <v>0.1076388888888889</v>
      </c>
      <c r="J10" s="4">
        <v>5</v>
      </c>
      <c r="K10" s="56"/>
      <c r="L10" s="50">
        <v>6.9444444444444441E-3</v>
      </c>
      <c r="M10" s="51"/>
      <c r="N10" s="52">
        <v>4.1666666666670002E-2</v>
      </c>
      <c r="O10" s="52">
        <v>8.3333333333329998E-2</v>
      </c>
      <c r="P10" s="57">
        <v>8.611111111111111E-2</v>
      </c>
      <c r="Q10" s="56"/>
      <c r="R10" s="13">
        <f t="shared" si="6"/>
        <v>50.000000000004796</v>
      </c>
      <c r="S10" s="24">
        <f t="shared" si="7"/>
        <v>59.999999999990393</v>
      </c>
      <c r="T10" s="58">
        <f t="shared" si="8"/>
        <v>-5</v>
      </c>
      <c r="U10" s="23">
        <f t="shared" si="9"/>
        <v>15.000000000004803</v>
      </c>
      <c r="V10" s="23">
        <f t="shared" si="10"/>
        <v>-30.00000000000481</v>
      </c>
      <c r="W10" s="23">
        <f t="shared" si="11"/>
        <v>-50.000000000009607</v>
      </c>
      <c r="X10" s="23">
        <f t="shared" si="12"/>
        <v>-26.000000000000007</v>
      </c>
      <c r="Y10" s="24">
        <f t="shared" si="13"/>
        <v>4.0000000000048015</v>
      </c>
      <c r="Z10" s="25">
        <f t="shared" si="14"/>
        <v>25.00000000000481</v>
      </c>
      <c r="AC10" s="27">
        <v>0</v>
      </c>
      <c r="AD10" s="53"/>
      <c r="AE10" s="28">
        <f t="shared" si="0"/>
        <v>30</v>
      </c>
      <c r="AF10" s="19">
        <v>120</v>
      </c>
      <c r="AG10" s="28">
        <f t="shared" si="1"/>
        <v>135</v>
      </c>
      <c r="AH10" s="29">
        <f t="shared" si="2"/>
        <v>-5</v>
      </c>
      <c r="AI10" s="28">
        <f t="shared" si="3"/>
        <v>45.000000000004803</v>
      </c>
      <c r="AJ10" s="28">
        <f t="shared" si="4"/>
        <v>104.9999999999952</v>
      </c>
      <c r="AK10" s="28">
        <f t="shared" si="15"/>
        <v>102.4999999999976</v>
      </c>
      <c r="AL10" s="28">
        <f t="shared" si="5"/>
        <v>109</v>
      </c>
      <c r="AM10" s="19">
        <f t="shared" si="17"/>
        <v>200.0000000000048</v>
      </c>
    </row>
    <row r="11" spans="1:39">
      <c r="A11" s="30">
        <v>10</v>
      </c>
      <c r="B11" s="31" t="s">
        <v>59</v>
      </c>
      <c r="C11" s="32" t="s">
        <v>50</v>
      </c>
      <c r="D11" s="33">
        <v>1.0416666666666666E-2</v>
      </c>
      <c r="E11" s="35">
        <v>3.125E-2</v>
      </c>
      <c r="F11" s="34">
        <v>30</v>
      </c>
      <c r="G11" s="33">
        <v>0.10416666666666667</v>
      </c>
      <c r="H11" s="36">
        <v>105</v>
      </c>
      <c r="I11" s="37">
        <v>0.1076388888888889</v>
      </c>
      <c r="J11" s="4">
        <v>5</v>
      </c>
      <c r="K11" s="7"/>
      <c r="L11" s="50">
        <v>6.9444444444444441E-3</v>
      </c>
      <c r="M11" s="51"/>
      <c r="N11" s="52">
        <v>4.1666666666670002E-2</v>
      </c>
      <c r="O11" s="52">
        <v>8.3333333333329998E-2</v>
      </c>
      <c r="P11" s="33">
        <v>8.611111111111111E-2</v>
      </c>
      <c r="Q11" s="7"/>
      <c r="R11" s="13">
        <f t="shared" si="6"/>
        <v>50.000000000004796</v>
      </c>
      <c r="S11" s="13">
        <f t="shared" si="7"/>
        <v>59.999999999990393</v>
      </c>
      <c r="T11" s="40">
        <f t="shared" si="8"/>
        <v>-5</v>
      </c>
      <c r="U11" s="4">
        <f t="shared" si="9"/>
        <v>15.000000000004803</v>
      </c>
      <c r="V11" s="4">
        <f t="shared" si="10"/>
        <v>-30.00000000000481</v>
      </c>
      <c r="W11" s="4">
        <f t="shared" si="11"/>
        <v>-50.000000000009607</v>
      </c>
      <c r="X11" s="4">
        <f t="shared" si="12"/>
        <v>-26.000000000000007</v>
      </c>
      <c r="Y11" s="13">
        <f t="shared" si="13"/>
        <v>4.0000000000048015</v>
      </c>
      <c r="Z11" s="15">
        <f t="shared" si="14"/>
        <v>25.00000000000481</v>
      </c>
      <c r="AC11" s="18">
        <v>0</v>
      </c>
      <c r="AD11" s="53"/>
      <c r="AE11" s="19">
        <f t="shared" si="0"/>
        <v>30</v>
      </c>
      <c r="AF11" s="19">
        <v>120</v>
      </c>
      <c r="AG11" s="19">
        <f t="shared" si="1"/>
        <v>135</v>
      </c>
      <c r="AH11" s="20">
        <f t="shared" si="2"/>
        <v>-5</v>
      </c>
      <c r="AI11" s="19">
        <f t="shared" si="3"/>
        <v>45.000000000004803</v>
      </c>
      <c r="AJ11" s="19">
        <f t="shared" si="4"/>
        <v>104.9999999999952</v>
      </c>
      <c r="AK11" s="19">
        <f t="shared" si="15"/>
        <v>102.4999999999976</v>
      </c>
      <c r="AL11" s="19">
        <f t="shared" si="5"/>
        <v>109</v>
      </c>
      <c r="AM11" s="19">
        <f t="shared" si="17"/>
        <v>200.0000000000048</v>
      </c>
    </row>
    <row r="12" spans="1:39">
      <c r="A12" s="30">
        <v>11</v>
      </c>
      <c r="B12" s="31" t="s">
        <v>60</v>
      </c>
      <c r="C12" s="32" t="s">
        <v>50</v>
      </c>
      <c r="D12" s="33">
        <v>1.0416666666666666E-2</v>
      </c>
      <c r="E12" s="35">
        <v>3.125E-2</v>
      </c>
      <c r="F12" s="34">
        <v>30</v>
      </c>
      <c r="G12" s="33">
        <v>0.10416666666666667</v>
      </c>
      <c r="H12" s="36">
        <v>105</v>
      </c>
      <c r="I12" s="37">
        <v>0.1076388888888889</v>
      </c>
      <c r="J12" s="4">
        <v>5</v>
      </c>
      <c r="K12" s="7"/>
      <c r="L12" s="50">
        <v>4.1666666666666666E-3</v>
      </c>
      <c r="M12" s="51"/>
      <c r="N12" s="52">
        <v>4.1666666666670002E-2</v>
      </c>
      <c r="O12" s="52">
        <v>8.4027777777780005E-2</v>
      </c>
      <c r="P12" s="33">
        <v>8.6805555555555552E-2</v>
      </c>
      <c r="Q12" s="7"/>
      <c r="R12" s="13">
        <f t="shared" si="6"/>
        <v>54.000000000004803</v>
      </c>
      <c r="S12" s="13">
        <f t="shared" si="7"/>
        <v>60.999999999998401</v>
      </c>
      <c r="T12" s="40">
        <f t="shared" si="8"/>
        <v>-9</v>
      </c>
      <c r="U12" s="4">
        <f t="shared" si="9"/>
        <v>15.000000000004803</v>
      </c>
      <c r="V12" s="4">
        <f t="shared" si="10"/>
        <v>-28.999999999996799</v>
      </c>
      <c r="W12" s="4">
        <f t="shared" si="11"/>
        <v>-53.000000000001599</v>
      </c>
      <c r="X12" s="4">
        <f t="shared" si="12"/>
        <v>-25.000000000000011</v>
      </c>
      <c r="Y12" s="13">
        <f t="shared" si="13"/>
        <v>3.9999999999967883</v>
      </c>
      <c r="Z12" s="15">
        <f t="shared" si="14"/>
        <v>19.999999999996799</v>
      </c>
      <c r="AC12" s="18">
        <v>0</v>
      </c>
      <c r="AD12" s="53"/>
      <c r="AE12" s="19">
        <f t="shared" si="0"/>
        <v>30</v>
      </c>
      <c r="AF12" s="19">
        <v>120</v>
      </c>
      <c r="AG12" s="19">
        <f t="shared" si="1"/>
        <v>135</v>
      </c>
      <c r="AH12" s="20">
        <f t="shared" si="2"/>
        <v>-9</v>
      </c>
      <c r="AI12" s="19">
        <f t="shared" si="3"/>
        <v>45.000000000004803</v>
      </c>
      <c r="AJ12" s="19">
        <f t="shared" si="4"/>
        <v>106.00000000000321</v>
      </c>
      <c r="AK12" s="19">
        <f t="shared" si="15"/>
        <v>103.00000000000161</v>
      </c>
      <c r="AL12" s="19">
        <f t="shared" si="5"/>
        <v>110</v>
      </c>
      <c r="AM12" s="19">
        <f t="shared" si="17"/>
        <v>194.99999999999679</v>
      </c>
    </row>
    <row r="13" spans="1:39">
      <c r="A13" s="30">
        <v>12</v>
      </c>
      <c r="B13" s="31" t="s">
        <v>61</v>
      </c>
      <c r="C13" s="32" t="s">
        <v>50</v>
      </c>
      <c r="D13" s="33">
        <v>1.0416666666666666E-2</v>
      </c>
      <c r="E13" s="35">
        <v>3.125E-2</v>
      </c>
      <c r="F13" s="34">
        <v>30</v>
      </c>
      <c r="G13" s="33">
        <v>0.10416666666666667</v>
      </c>
      <c r="H13" s="36">
        <v>105</v>
      </c>
      <c r="I13" s="37">
        <v>0.1076388888888889</v>
      </c>
      <c r="J13" s="4">
        <v>5</v>
      </c>
      <c r="K13" s="7"/>
      <c r="L13" s="50">
        <v>8.3333333333333332E-3</v>
      </c>
      <c r="M13" s="51"/>
      <c r="N13" s="52">
        <v>4.1666666666670002E-2</v>
      </c>
      <c r="O13" s="52">
        <v>8.3333333333329998E-2</v>
      </c>
      <c r="P13" s="33">
        <v>8.611111111111111E-2</v>
      </c>
      <c r="Q13" s="7"/>
      <c r="R13" s="13">
        <f t="shared" si="6"/>
        <v>48.000000000004803</v>
      </c>
      <c r="S13" s="13">
        <f t="shared" si="7"/>
        <v>59.999999999990393</v>
      </c>
      <c r="T13" s="40">
        <f t="shared" si="8"/>
        <v>-2.9999999999999991</v>
      </c>
      <c r="U13" s="4">
        <f t="shared" si="9"/>
        <v>15.000000000004803</v>
      </c>
      <c r="V13" s="4">
        <f t="shared" si="10"/>
        <v>-30.00000000000481</v>
      </c>
      <c r="W13" s="4">
        <f t="shared" si="11"/>
        <v>-48.000000000009607</v>
      </c>
      <c r="X13" s="4">
        <f t="shared" si="12"/>
        <v>-26.000000000000007</v>
      </c>
      <c r="Y13" s="13">
        <f t="shared" si="13"/>
        <v>4.0000000000048015</v>
      </c>
      <c r="Z13" s="15">
        <f t="shared" si="14"/>
        <v>27.00000000000481</v>
      </c>
      <c r="AC13" s="18">
        <v>0</v>
      </c>
      <c r="AD13" s="53"/>
      <c r="AE13" s="19">
        <f t="shared" si="0"/>
        <v>30</v>
      </c>
      <c r="AF13" s="19">
        <v>120</v>
      </c>
      <c r="AG13" s="19">
        <f t="shared" si="1"/>
        <v>135</v>
      </c>
      <c r="AH13" s="20">
        <f t="shared" si="2"/>
        <v>-2.9999999999999991</v>
      </c>
      <c r="AI13" s="19">
        <f t="shared" si="3"/>
        <v>45.000000000004803</v>
      </c>
      <c r="AJ13" s="19">
        <f t="shared" si="4"/>
        <v>104.9999999999952</v>
      </c>
      <c r="AK13" s="19">
        <f t="shared" si="15"/>
        <v>102.4999999999976</v>
      </c>
      <c r="AL13" s="19">
        <f t="shared" si="5"/>
        <v>109</v>
      </c>
      <c r="AM13" s="19">
        <f t="shared" si="17"/>
        <v>202.0000000000048</v>
      </c>
    </row>
    <row r="14" spans="1:39">
      <c r="A14" s="30">
        <v>13</v>
      </c>
      <c r="B14" s="31" t="s">
        <v>62</v>
      </c>
      <c r="C14" s="32" t="s">
        <v>50</v>
      </c>
      <c r="D14" s="33">
        <v>1.0416666666666666E-2</v>
      </c>
      <c r="E14" s="35">
        <v>3.125E-2</v>
      </c>
      <c r="F14" s="34">
        <v>30</v>
      </c>
      <c r="G14" s="33">
        <v>0.10416666666666667</v>
      </c>
      <c r="H14" s="36">
        <v>105</v>
      </c>
      <c r="I14" s="37">
        <v>0.1076388888888889</v>
      </c>
      <c r="J14" s="4">
        <v>5</v>
      </c>
      <c r="K14" s="7"/>
      <c r="L14" s="50">
        <v>7.2916666666666671E-2</v>
      </c>
      <c r="M14" s="59"/>
      <c r="N14" s="52">
        <v>9.375E-2</v>
      </c>
      <c r="O14" s="52">
        <v>0.12152777777778</v>
      </c>
      <c r="P14" s="33">
        <v>0.12430555555555556</v>
      </c>
      <c r="Q14" s="7"/>
      <c r="R14" s="13">
        <f t="shared" si="6"/>
        <v>29.999999999999993</v>
      </c>
      <c r="S14" s="13">
        <f t="shared" si="7"/>
        <v>40.000000000003197</v>
      </c>
      <c r="T14" s="40">
        <f t="shared" si="8"/>
        <v>90</v>
      </c>
      <c r="U14" s="4">
        <f t="shared" si="9"/>
        <v>90</v>
      </c>
      <c r="V14" s="4">
        <f t="shared" si="10"/>
        <v>25.00000000000319</v>
      </c>
      <c r="W14" s="4">
        <f t="shared" si="11"/>
        <v>25.000000000003197</v>
      </c>
      <c r="X14" s="4">
        <f t="shared" si="12"/>
        <v>28.999999999999996</v>
      </c>
      <c r="Y14" s="13">
        <f t="shared" si="13"/>
        <v>3.9999999999968083</v>
      </c>
      <c r="Z14" s="15">
        <f t="shared" si="14"/>
        <v>64.999999999996817</v>
      </c>
      <c r="AC14" s="18">
        <v>0</v>
      </c>
      <c r="AD14" s="53"/>
      <c r="AE14" s="19">
        <f t="shared" si="0"/>
        <v>30</v>
      </c>
      <c r="AF14" s="19">
        <v>120</v>
      </c>
      <c r="AG14" s="19">
        <f t="shared" si="1"/>
        <v>135</v>
      </c>
      <c r="AH14" s="20">
        <f t="shared" si="2"/>
        <v>90</v>
      </c>
      <c r="AI14" s="19">
        <f t="shared" si="3"/>
        <v>120</v>
      </c>
      <c r="AJ14" s="19">
        <f t="shared" si="4"/>
        <v>160.00000000000318</v>
      </c>
      <c r="AK14" s="19">
        <f t="shared" si="15"/>
        <v>130.00000000000159</v>
      </c>
      <c r="AL14" s="19">
        <f t="shared" si="5"/>
        <v>164</v>
      </c>
      <c r="AM14" s="19">
        <f t="shared" si="17"/>
        <v>239.99999999999682</v>
      </c>
    </row>
    <row r="15" spans="1:39">
      <c r="A15" s="30">
        <v>14</v>
      </c>
      <c r="B15" s="31" t="s">
        <v>63</v>
      </c>
      <c r="C15" s="32" t="s">
        <v>50</v>
      </c>
      <c r="D15" s="33">
        <v>1.0416666666666666E-2</v>
      </c>
      <c r="E15" s="35">
        <v>3.125E-2</v>
      </c>
      <c r="F15" s="34">
        <v>30</v>
      </c>
      <c r="G15" s="33">
        <v>0.10416666666666667</v>
      </c>
      <c r="H15" s="36">
        <v>105</v>
      </c>
      <c r="I15" s="37">
        <v>0.1076388888888889</v>
      </c>
      <c r="J15" s="4">
        <v>5</v>
      </c>
      <c r="K15" s="7"/>
      <c r="L15" s="50">
        <v>5.486111111111111E-2</v>
      </c>
      <c r="M15" s="59"/>
      <c r="N15" s="52">
        <v>7.6388888888890005E-2</v>
      </c>
      <c r="O15" s="52">
        <v>0.10416666666667</v>
      </c>
      <c r="P15" s="33">
        <v>0.10694444444444444</v>
      </c>
      <c r="Q15" s="7"/>
      <c r="R15" s="13">
        <f t="shared" si="6"/>
        <v>31.000000000001609</v>
      </c>
      <c r="S15" s="13">
        <f t="shared" si="7"/>
        <v>40.000000000003197</v>
      </c>
      <c r="T15" s="40">
        <f t="shared" si="8"/>
        <v>64</v>
      </c>
      <c r="U15" s="4">
        <f t="shared" si="9"/>
        <v>65.000000000001606</v>
      </c>
      <c r="V15" s="4">
        <f t="shared" si="10"/>
        <v>4.7961634663806763E-12</v>
      </c>
      <c r="W15" s="4">
        <f t="shared" si="11"/>
        <v>-0.99999999999680256</v>
      </c>
      <c r="X15" s="4">
        <f t="shared" si="12"/>
        <v>3.9999999999999858</v>
      </c>
      <c r="Y15" s="13">
        <f t="shared" si="13"/>
        <v>3.9999999999951896</v>
      </c>
      <c r="Z15" s="15">
        <f t="shared" si="14"/>
        <v>63.999999999995204</v>
      </c>
      <c r="AC15" s="18">
        <v>0</v>
      </c>
      <c r="AD15" s="53"/>
      <c r="AE15" s="19">
        <f t="shared" si="0"/>
        <v>30</v>
      </c>
      <c r="AF15" s="19">
        <v>120</v>
      </c>
      <c r="AG15" s="19">
        <f t="shared" si="1"/>
        <v>135</v>
      </c>
      <c r="AH15" s="20">
        <f t="shared" si="2"/>
        <v>64</v>
      </c>
      <c r="AI15" s="19">
        <f t="shared" si="3"/>
        <v>95.000000000001606</v>
      </c>
      <c r="AJ15" s="19">
        <f t="shared" si="4"/>
        <v>135.0000000000048</v>
      </c>
      <c r="AK15" s="19">
        <f t="shared" si="15"/>
        <v>117.5000000000024</v>
      </c>
      <c r="AL15" s="19">
        <f t="shared" si="5"/>
        <v>139</v>
      </c>
      <c r="AM15" s="19">
        <f t="shared" si="17"/>
        <v>238.9999999999952</v>
      </c>
    </row>
    <row r="16" spans="1:39">
      <c r="A16" s="30">
        <v>15</v>
      </c>
      <c r="B16" s="31" t="s">
        <v>64</v>
      </c>
      <c r="C16" s="32" t="s">
        <v>50</v>
      </c>
      <c r="D16" s="33">
        <v>1.0416666666666701E-2</v>
      </c>
      <c r="E16" s="35">
        <v>3.125E-2</v>
      </c>
      <c r="F16" s="34">
        <v>30</v>
      </c>
      <c r="G16" s="33">
        <v>0.10416666666666667</v>
      </c>
      <c r="H16" s="36">
        <v>105</v>
      </c>
      <c r="I16" s="37">
        <v>0.1076388888888889</v>
      </c>
      <c r="J16" s="4">
        <v>5</v>
      </c>
      <c r="K16" s="7"/>
      <c r="L16" s="50">
        <v>2.7777777777777776E-2</v>
      </c>
      <c r="N16" s="52">
        <v>5.2083333333329998E-2</v>
      </c>
      <c r="O16" s="52">
        <v>9.3055555555559999E-2</v>
      </c>
      <c r="P16" s="33">
        <v>9.6527777777777782E-2</v>
      </c>
      <c r="Q16" s="7"/>
      <c r="R16" s="13">
        <f t="shared" si="6"/>
        <v>34.999999999995197</v>
      </c>
      <c r="S16" s="13">
        <f t="shared" si="7"/>
        <v>59.000000000011198</v>
      </c>
      <c r="T16" s="40">
        <f t="shared" si="8"/>
        <v>24.99999999999995</v>
      </c>
      <c r="U16" s="4">
        <f t="shared" si="9"/>
        <v>29.999999999995197</v>
      </c>
      <c r="V16" s="4">
        <f t="shared" si="10"/>
        <v>-15.999999999993609</v>
      </c>
      <c r="W16" s="4">
        <f t="shared" si="11"/>
        <v>-20.999999999988859</v>
      </c>
      <c r="X16" s="4">
        <f t="shared" si="12"/>
        <v>-11</v>
      </c>
      <c r="Y16" s="13">
        <f t="shared" si="13"/>
        <v>4.9999999999936069</v>
      </c>
      <c r="Z16" s="15">
        <f t="shared" si="14"/>
        <v>40.999999999993562</v>
      </c>
      <c r="AC16" s="18">
        <v>0</v>
      </c>
      <c r="AD16" s="53"/>
      <c r="AE16" s="19">
        <f t="shared" si="0"/>
        <v>30</v>
      </c>
      <c r="AF16" s="19">
        <v>120</v>
      </c>
      <c r="AG16" s="19">
        <f t="shared" si="1"/>
        <v>135</v>
      </c>
      <c r="AH16" s="20">
        <f t="shared" si="2"/>
        <v>24.99999999999995</v>
      </c>
      <c r="AI16" s="19">
        <f t="shared" si="3"/>
        <v>59.999999999995197</v>
      </c>
      <c r="AJ16" s="19">
        <f t="shared" si="4"/>
        <v>119.00000000000639</v>
      </c>
      <c r="AK16" s="19">
        <f t="shared" si="15"/>
        <v>109.5000000000032</v>
      </c>
      <c r="AL16" s="19">
        <f t="shared" si="5"/>
        <v>124</v>
      </c>
      <c r="AM16" s="19">
        <f t="shared" si="17"/>
        <v>215.99999999999358</v>
      </c>
    </row>
    <row r="17" spans="1:39" s="26" customFormat="1">
      <c r="A17" s="54">
        <v>16</v>
      </c>
      <c r="B17" s="31" t="s">
        <v>65</v>
      </c>
      <c r="C17" s="32" t="s">
        <v>50</v>
      </c>
      <c r="D17" s="33">
        <v>1.0416666666666666E-2</v>
      </c>
      <c r="E17" s="35">
        <v>3.125E-2</v>
      </c>
      <c r="F17" s="55">
        <v>30</v>
      </c>
      <c r="G17" s="33">
        <v>0.10416666666666667</v>
      </c>
      <c r="H17" s="36">
        <v>105</v>
      </c>
      <c r="I17" s="37">
        <v>0.1076388888888889</v>
      </c>
      <c r="J17" s="4">
        <v>5</v>
      </c>
      <c r="K17" s="56"/>
      <c r="L17" s="50">
        <v>2.8472222222222222E-2</v>
      </c>
      <c r="M17" s="59"/>
      <c r="N17" s="52">
        <v>4.5138888888889998E-2</v>
      </c>
      <c r="O17" s="52">
        <v>8.611111111111E-2</v>
      </c>
      <c r="P17" s="57">
        <v>8.819444444444445E-2</v>
      </c>
      <c r="Q17" s="56"/>
      <c r="R17" s="13">
        <f t="shared" si="6"/>
        <v>24.000000000001599</v>
      </c>
      <c r="S17" s="24">
        <f t="shared" si="7"/>
        <v>58.999999999996803</v>
      </c>
      <c r="T17" s="58">
        <f t="shared" si="8"/>
        <v>25.999999999999996</v>
      </c>
      <c r="U17" s="23">
        <f t="shared" si="9"/>
        <v>20.000000000001599</v>
      </c>
      <c r="V17" s="23">
        <f t="shared" si="10"/>
        <v>-26.000000000001606</v>
      </c>
      <c r="W17" s="23">
        <f t="shared" si="11"/>
        <v>-20.000000000003197</v>
      </c>
      <c r="X17" s="23">
        <f t="shared" si="12"/>
        <v>-23</v>
      </c>
      <c r="Y17" s="24">
        <f t="shared" si="13"/>
        <v>3.000000000001608</v>
      </c>
      <c r="Z17" s="25">
        <f t="shared" si="14"/>
        <v>52.000000000001606</v>
      </c>
      <c r="AC17" s="27">
        <v>0</v>
      </c>
      <c r="AD17" s="53">
        <v>-2</v>
      </c>
      <c r="AE17" s="28">
        <f t="shared" si="0"/>
        <v>30</v>
      </c>
      <c r="AF17" s="19">
        <v>120</v>
      </c>
      <c r="AG17" s="28">
        <f t="shared" si="1"/>
        <v>135</v>
      </c>
      <c r="AH17" s="29">
        <f t="shared" si="2"/>
        <v>25.999999999999996</v>
      </c>
      <c r="AI17" s="28">
        <f t="shared" si="3"/>
        <v>50.000000000001599</v>
      </c>
      <c r="AJ17" s="28">
        <f t="shared" si="4"/>
        <v>108.99999999999841</v>
      </c>
      <c r="AK17" s="28">
        <f t="shared" si="15"/>
        <v>104.4999999999992</v>
      </c>
      <c r="AL17" s="28">
        <f t="shared" si="5"/>
        <v>112.00000000000001</v>
      </c>
      <c r="AM17" s="19">
        <f t="shared" si="17"/>
        <v>227.00000000000159</v>
      </c>
    </row>
    <row r="18" spans="1:39">
      <c r="A18" s="30">
        <v>17</v>
      </c>
      <c r="B18" s="31" t="s">
        <v>66</v>
      </c>
      <c r="C18" s="32" t="s">
        <v>50</v>
      </c>
      <c r="D18" s="33">
        <v>1.0416666666666666E-2</v>
      </c>
      <c r="E18" s="35">
        <v>3.125E-2</v>
      </c>
      <c r="F18" s="34">
        <v>30</v>
      </c>
      <c r="G18" s="33">
        <v>0.10416666666666667</v>
      </c>
      <c r="H18" s="36">
        <v>105</v>
      </c>
      <c r="I18" s="37">
        <v>0.1076388888888889</v>
      </c>
      <c r="J18" s="4">
        <v>5</v>
      </c>
      <c r="K18" s="7"/>
      <c r="L18" s="50">
        <v>6.2500000000000003E-3</v>
      </c>
      <c r="M18" s="59"/>
      <c r="N18" s="52">
        <v>4.0972222222220002E-2</v>
      </c>
      <c r="O18" s="52">
        <v>8.3333333333329998E-2</v>
      </c>
      <c r="P18" s="33">
        <v>8.611111111111111E-2</v>
      </c>
      <c r="Q18" s="7"/>
      <c r="R18" s="13">
        <f t="shared" si="6"/>
        <v>49.999999999996803</v>
      </c>
      <c r="S18" s="13">
        <f t="shared" si="7"/>
        <v>60.999999999998394</v>
      </c>
      <c r="T18" s="40">
        <f t="shared" si="8"/>
        <v>-5.9999999999999982</v>
      </c>
      <c r="U18" s="4">
        <f t="shared" si="9"/>
        <v>13.999999999996803</v>
      </c>
      <c r="V18" s="4">
        <f t="shared" si="10"/>
        <v>-30.00000000000481</v>
      </c>
      <c r="W18" s="4">
        <f t="shared" si="11"/>
        <v>-50.000000000001606</v>
      </c>
      <c r="X18" s="4">
        <f t="shared" si="12"/>
        <v>-26.000000000000007</v>
      </c>
      <c r="Y18" s="13">
        <f t="shared" si="13"/>
        <v>4.0000000000048015</v>
      </c>
      <c r="Z18" s="15">
        <f t="shared" si="14"/>
        <v>24.00000000000481</v>
      </c>
      <c r="AC18" s="18">
        <v>0</v>
      </c>
      <c r="AD18" s="53">
        <v>0</v>
      </c>
      <c r="AE18" s="19">
        <f t="shared" si="0"/>
        <v>30</v>
      </c>
      <c r="AF18" s="19">
        <v>120</v>
      </c>
      <c r="AG18" s="19">
        <f t="shared" si="1"/>
        <v>135</v>
      </c>
      <c r="AH18" s="20">
        <f t="shared" si="2"/>
        <v>-5.9999999999999982</v>
      </c>
      <c r="AI18" s="19">
        <f t="shared" si="3"/>
        <v>43.999999999996803</v>
      </c>
      <c r="AJ18" s="19">
        <f t="shared" si="4"/>
        <v>104.9999999999952</v>
      </c>
      <c r="AK18" s="19">
        <f t="shared" si="15"/>
        <v>102.4999999999976</v>
      </c>
      <c r="AL18" s="19">
        <f t="shared" si="5"/>
        <v>109</v>
      </c>
      <c r="AM18" s="19">
        <f t="shared" si="17"/>
        <v>199.0000000000048</v>
      </c>
    </row>
    <row r="19" spans="1:39">
      <c r="A19" s="30">
        <v>18</v>
      </c>
      <c r="B19" s="31" t="s">
        <v>67</v>
      </c>
      <c r="C19" s="32" t="s">
        <v>50</v>
      </c>
      <c r="D19" s="33">
        <v>1.0416666666666666E-2</v>
      </c>
      <c r="E19" s="35">
        <v>3.125E-2</v>
      </c>
      <c r="F19" s="34">
        <v>30</v>
      </c>
      <c r="G19" s="33">
        <v>0.10416666666666667</v>
      </c>
      <c r="H19" s="36">
        <v>105</v>
      </c>
      <c r="I19" s="37">
        <v>0.1076388888888889</v>
      </c>
      <c r="J19" s="4">
        <v>5</v>
      </c>
      <c r="K19" s="7"/>
      <c r="L19" s="50">
        <v>8.3333333333333332E-3</v>
      </c>
      <c r="M19" s="59"/>
      <c r="N19" s="52">
        <v>4.5138888888889998E-2</v>
      </c>
      <c r="O19" s="52">
        <v>0.10069444444444001</v>
      </c>
      <c r="P19" s="33">
        <v>0.10347222222222222</v>
      </c>
      <c r="Q19" s="7"/>
      <c r="R19" s="13">
        <f t="shared" si="6"/>
        <v>53.000000000001599</v>
      </c>
      <c r="S19" s="13">
        <f t="shared" si="7"/>
        <v>79.999999999992013</v>
      </c>
      <c r="T19" s="40">
        <f t="shared" si="8"/>
        <v>-2.9999999999999991</v>
      </c>
      <c r="U19" s="4">
        <f t="shared" si="9"/>
        <v>20.000000000001599</v>
      </c>
      <c r="V19" s="4">
        <f t="shared" si="10"/>
        <v>-5.0000000000063967</v>
      </c>
      <c r="W19" s="4">
        <f t="shared" si="11"/>
        <v>-28.000000000007987</v>
      </c>
      <c r="X19" s="4">
        <f t="shared" si="12"/>
        <v>-1.0000000000000164</v>
      </c>
      <c r="Y19" s="13">
        <f t="shared" si="13"/>
        <v>4.0000000000063807</v>
      </c>
      <c r="Z19" s="15">
        <f t="shared" si="14"/>
        <v>2.0000000000063975</v>
      </c>
      <c r="AC19" s="18">
        <v>0</v>
      </c>
      <c r="AD19" s="53">
        <v>0</v>
      </c>
      <c r="AE19" s="19">
        <f t="shared" si="0"/>
        <v>30</v>
      </c>
      <c r="AF19" s="19">
        <v>120</v>
      </c>
      <c r="AG19" s="19">
        <f t="shared" si="1"/>
        <v>135</v>
      </c>
      <c r="AH19" s="20">
        <f t="shared" si="2"/>
        <v>-2.9999999999999991</v>
      </c>
      <c r="AI19" s="19">
        <f t="shared" si="3"/>
        <v>50.000000000001599</v>
      </c>
      <c r="AJ19" s="19">
        <f t="shared" si="4"/>
        <v>129.99999999999361</v>
      </c>
      <c r="AK19" s="19">
        <f t="shared" si="15"/>
        <v>114.9999999999968</v>
      </c>
      <c r="AL19" s="19">
        <f t="shared" si="5"/>
        <v>134</v>
      </c>
      <c r="AM19" s="19">
        <f t="shared" si="17"/>
        <v>177.00000000000639</v>
      </c>
    </row>
    <row r="20" spans="1:39">
      <c r="A20" s="30">
        <v>19</v>
      </c>
      <c r="B20" s="31" t="s">
        <v>68</v>
      </c>
      <c r="C20" s="32" t="s">
        <v>50</v>
      </c>
      <c r="D20" s="33">
        <v>1.0416666666666666E-2</v>
      </c>
      <c r="E20" s="35">
        <v>3.125E-2</v>
      </c>
      <c r="F20" s="34">
        <v>30</v>
      </c>
      <c r="G20" s="33">
        <v>0.10416666666666667</v>
      </c>
      <c r="H20" s="36">
        <v>105</v>
      </c>
      <c r="I20" s="37">
        <v>0.1076388888888889</v>
      </c>
      <c r="J20" s="4">
        <v>5</v>
      </c>
      <c r="K20" s="7"/>
      <c r="L20" s="50">
        <v>7.6388888888888886E-3</v>
      </c>
      <c r="M20" s="59"/>
      <c r="N20" s="52">
        <v>4.1666666666670002E-2</v>
      </c>
      <c r="O20" s="52">
        <v>8.4027777777780005E-2</v>
      </c>
      <c r="P20" s="33">
        <v>8.611111111111111E-2</v>
      </c>
      <c r="Q20" s="7"/>
      <c r="R20" s="13">
        <f t="shared" si="6"/>
        <v>49.000000000004803</v>
      </c>
      <c r="S20" s="13">
        <f t="shared" si="7"/>
        <v>60.999999999998401</v>
      </c>
      <c r="T20" s="40">
        <f t="shared" si="8"/>
        <v>-3.9999999999999996</v>
      </c>
      <c r="U20" s="4">
        <f t="shared" si="9"/>
        <v>15.000000000004803</v>
      </c>
      <c r="V20" s="4">
        <f t="shared" si="10"/>
        <v>-28.999999999996799</v>
      </c>
      <c r="W20" s="4">
        <f t="shared" si="11"/>
        <v>-48.000000000001599</v>
      </c>
      <c r="X20" s="4">
        <f t="shared" si="12"/>
        <v>-26.000000000000007</v>
      </c>
      <c r="Y20" s="13">
        <f t="shared" si="13"/>
        <v>2.9999999999967919</v>
      </c>
      <c r="Z20" s="15">
        <f t="shared" si="14"/>
        <v>24.999999999996799</v>
      </c>
      <c r="AC20" s="18">
        <v>0</v>
      </c>
      <c r="AD20" s="53">
        <v>7</v>
      </c>
      <c r="AE20" s="19">
        <f t="shared" si="0"/>
        <v>30</v>
      </c>
      <c r="AF20" s="19">
        <v>120</v>
      </c>
      <c r="AG20" s="19">
        <f t="shared" si="1"/>
        <v>135</v>
      </c>
      <c r="AH20" s="20">
        <f t="shared" si="2"/>
        <v>-3.9999999999999996</v>
      </c>
      <c r="AI20" s="19">
        <f t="shared" si="3"/>
        <v>45.000000000004803</v>
      </c>
      <c r="AJ20" s="19">
        <f t="shared" si="4"/>
        <v>106.00000000000321</v>
      </c>
      <c r="AK20" s="19">
        <f t="shared" si="15"/>
        <v>103.00000000000161</v>
      </c>
      <c r="AL20" s="19">
        <f t="shared" si="5"/>
        <v>109</v>
      </c>
      <c r="AM20" s="19">
        <f t="shared" si="17"/>
        <v>199.99999999999679</v>
      </c>
    </row>
    <row r="21" spans="1:39" s="68" customFormat="1">
      <c r="A21" s="60">
        <v>20</v>
      </c>
      <c r="B21" s="31" t="s">
        <v>69</v>
      </c>
      <c r="C21" s="32" t="s">
        <v>50</v>
      </c>
      <c r="D21" s="33">
        <v>1.0416666666666666E-2</v>
      </c>
      <c r="E21" s="35">
        <v>3.125E-2</v>
      </c>
      <c r="F21" s="61">
        <v>30</v>
      </c>
      <c r="G21" s="33">
        <v>0.10416666666666667</v>
      </c>
      <c r="H21" s="36">
        <v>105</v>
      </c>
      <c r="I21" s="37">
        <v>0.1076388888888889</v>
      </c>
      <c r="J21" s="4">
        <v>5</v>
      </c>
      <c r="K21" s="62"/>
      <c r="L21" s="50">
        <v>6.9444444444444441E-3</v>
      </c>
      <c r="M21" s="59"/>
      <c r="N21" s="52">
        <v>4.3055555555560003E-2</v>
      </c>
      <c r="O21" s="52">
        <v>8.8194444444439996E-2</v>
      </c>
      <c r="P21" s="63">
        <v>9.0972222222222218E-2</v>
      </c>
      <c r="Q21" s="62"/>
      <c r="R21" s="13">
        <f t="shared" si="6"/>
        <v>52.000000000006409</v>
      </c>
      <c r="S21" s="64">
        <f t="shared" si="7"/>
        <v>64.999999999987196</v>
      </c>
      <c r="T21" s="65">
        <f t="shared" si="8"/>
        <v>-5</v>
      </c>
      <c r="U21" s="66">
        <f t="shared" si="9"/>
        <v>17.000000000006406</v>
      </c>
      <c r="V21" s="66">
        <f t="shared" si="10"/>
        <v>-23.000000000006413</v>
      </c>
      <c r="W21" s="66">
        <f t="shared" si="11"/>
        <v>-45.000000000012804</v>
      </c>
      <c r="X21" s="66">
        <f t="shared" si="12"/>
        <v>-19.000000000000014</v>
      </c>
      <c r="Y21" s="64">
        <f t="shared" si="13"/>
        <v>4.0000000000064002</v>
      </c>
      <c r="Z21" s="67">
        <f t="shared" si="14"/>
        <v>18.000000000006413</v>
      </c>
      <c r="AC21" s="69">
        <v>0</v>
      </c>
      <c r="AD21" s="53">
        <v>-2</v>
      </c>
      <c r="AE21" s="70">
        <f t="shared" si="0"/>
        <v>30</v>
      </c>
      <c r="AF21" s="19">
        <v>120</v>
      </c>
      <c r="AG21" s="70">
        <f t="shared" si="1"/>
        <v>135</v>
      </c>
      <c r="AH21" s="71">
        <f t="shared" si="2"/>
        <v>-5</v>
      </c>
      <c r="AI21" s="70">
        <f t="shared" si="3"/>
        <v>47.000000000006409</v>
      </c>
      <c r="AJ21" s="70">
        <f t="shared" si="4"/>
        <v>111.99999999999361</v>
      </c>
      <c r="AK21" s="70">
        <f t="shared" si="15"/>
        <v>105.9999999999968</v>
      </c>
      <c r="AL21" s="70">
        <f t="shared" si="5"/>
        <v>116</v>
      </c>
      <c r="AM21" s="19">
        <f t="shared" si="17"/>
        <v>193.00000000000642</v>
      </c>
    </row>
    <row r="22" spans="1:39">
      <c r="A22" s="30">
        <v>21</v>
      </c>
      <c r="B22" s="31" t="s">
        <v>70</v>
      </c>
      <c r="C22" s="32" t="s">
        <v>50</v>
      </c>
      <c r="D22" s="33">
        <v>1.0416666666666666E-2</v>
      </c>
      <c r="E22" s="35">
        <v>3.125E-2</v>
      </c>
      <c r="F22" s="34">
        <v>30</v>
      </c>
      <c r="G22" s="33">
        <v>0.10416666666666667</v>
      </c>
      <c r="H22" s="36">
        <v>105</v>
      </c>
      <c r="I22" s="37">
        <v>0.1076388888888889</v>
      </c>
      <c r="J22" s="4">
        <v>5</v>
      </c>
      <c r="K22" s="7"/>
      <c r="L22" s="50">
        <v>4.1666666666666666E-3</v>
      </c>
      <c r="M22" s="59"/>
      <c r="N22" s="52">
        <v>4.3055555555560003E-2</v>
      </c>
      <c r="O22" s="52">
        <v>8.3333333333329998E-2</v>
      </c>
      <c r="P22" s="33">
        <v>8.6805555555555552E-2</v>
      </c>
      <c r="Q22" s="7"/>
      <c r="R22" s="13">
        <f t="shared" si="6"/>
        <v>56.000000000006409</v>
      </c>
      <c r="S22" s="13">
        <f t="shared" si="7"/>
        <v>57.999999999988795</v>
      </c>
      <c r="T22" s="40">
        <f t="shared" si="8"/>
        <v>-9</v>
      </c>
      <c r="U22" s="4">
        <f t="shared" si="9"/>
        <v>17.000000000006406</v>
      </c>
      <c r="V22" s="4">
        <f t="shared" si="10"/>
        <v>-30.00000000000481</v>
      </c>
      <c r="W22" s="4">
        <f t="shared" si="11"/>
        <v>-56.000000000011205</v>
      </c>
      <c r="X22" s="4">
        <f t="shared" si="12"/>
        <v>-25.000000000000011</v>
      </c>
      <c r="Y22" s="13">
        <f t="shared" si="13"/>
        <v>5.0000000000047979</v>
      </c>
      <c r="Z22" s="15">
        <f t="shared" si="14"/>
        <v>21.00000000000481</v>
      </c>
      <c r="AC22" s="18">
        <v>0</v>
      </c>
      <c r="AD22" s="53">
        <v>0</v>
      </c>
      <c r="AE22" s="19">
        <f t="shared" si="0"/>
        <v>30</v>
      </c>
      <c r="AF22" s="19">
        <v>120</v>
      </c>
      <c r="AG22" s="19">
        <f t="shared" si="1"/>
        <v>135</v>
      </c>
      <c r="AH22" s="20">
        <f t="shared" si="2"/>
        <v>-9</v>
      </c>
      <c r="AI22" s="19">
        <f t="shared" si="3"/>
        <v>47.000000000006409</v>
      </c>
      <c r="AJ22" s="19">
        <f t="shared" si="4"/>
        <v>104.9999999999952</v>
      </c>
      <c r="AK22" s="19">
        <f t="shared" si="15"/>
        <v>102.4999999999976</v>
      </c>
      <c r="AL22" s="19">
        <f t="shared" si="5"/>
        <v>110</v>
      </c>
      <c r="AM22" s="19">
        <f t="shared" si="17"/>
        <v>196.0000000000048</v>
      </c>
    </row>
    <row r="23" spans="1:39">
      <c r="A23" s="30">
        <v>22</v>
      </c>
      <c r="B23" s="31" t="s">
        <v>71</v>
      </c>
      <c r="C23" s="32" t="s">
        <v>50</v>
      </c>
      <c r="D23" s="33">
        <v>1.0416666666666666E-2</v>
      </c>
      <c r="E23" s="35">
        <v>3.125E-2</v>
      </c>
      <c r="F23" s="34">
        <v>30</v>
      </c>
      <c r="G23" s="33">
        <v>0.10416666666666667</v>
      </c>
      <c r="H23" s="36">
        <v>105</v>
      </c>
      <c r="I23" s="37">
        <v>0.1076388888888889</v>
      </c>
      <c r="J23" s="4">
        <v>5</v>
      </c>
      <c r="K23" s="7"/>
      <c r="L23" s="50">
        <v>1.1805555555555555E-2</v>
      </c>
      <c r="M23" s="59"/>
      <c r="N23" s="52">
        <v>4.3055555555560003E-2</v>
      </c>
      <c r="O23" s="52">
        <v>8.4027777777780005E-2</v>
      </c>
      <c r="P23" s="33">
        <v>8.611111111111111E-2</v>
      </c>
      <c r="Q23" s="7"/>
      <c r="R23" s="13">
        <f t="shared" si="6"/>
        <v>45.000000000006402</v>
      </c>
      <c r="S23" s="13">
        <f t="shared" si="7"/>
        <v>58.999999999996803</v>
      </c>
      <c r="T23" s="40">
        <f t="shared" si="8"/>
        <v>2.0000000000000004</v>
      </c>
      <c r="U23" s="4">
        <f t="shared" si="9"/>
        <v>17.000000000006406</v>
      </c>
      <c r="V23" s="4">
        <f t="shared" si="10"/>
        <v>-28.999999999996799</v>
      </c>
      <c r="W23" s="4">
        <f t="shared" si="11"/>
        <v>-44.000000000003197</v>
      </c>
      <c r="X23" s="4">
        <f t="shared" si="12"/>
        <v>-26.000000000000007</v>
      </c>
      <c r="Y23" s="13">
        <f t="shared" si="13"/>
        <v>2.9999999999967919</v>
      </c>
      <c r="Z23" s="15">
        <f t="shared" si="14"/>
        <v>30.999999999996799</v>
      </c>
      <c r="AC23" s="18">
        <v>0</v>
      </c>
      <c r="AD23" s="53">
        <v>5</v>
      </c>
      <c r="AE23" s="19">
        <f t="shared" si="0"/>
        <v>30</v>
      </c>
      <c r="AF23" s="19">
        <v>120</v>
      </c>
      <c r="AG23" s="19">
        <f t="shared" si="1"/>
        <v>135</v>
      </c>
      <c r="AH23" s="20">
        <f t="shared" si="2"/>
        <v>2.0000000000000004</v>
      </c>
      <c r="AI23" s="19">
        <f t="shared" si="3"/>
        <v>47.000000000006409</v>
      </c>
      <c r="AJ23" s="19">
        <f t="shared" si="4"/>
        <v>106.00000000000321</v>
      </c>
      <c r="AK23" s="19">
        <f t="shared" si="15"/>
        <v>103.00000000000161</v>
      </c>
      <c r="AL23" s="19">
        <f t="shared" si="5"/>
        <v>109</v>
      </c>
      <c r="AM23" s="19">
        <f t="shared" si="17"/>
        <v>205.99999999999679</v>
      </c>
    </row>
    <row r="24" spans="1:39" s="26" customFormat="1">
      <c r="A24" s="54">
        <v>23</v>
      </c>
      <c r="B24" s="31" t="s">
        <v>72</v>
      </c>
      <c r="C24" s="32" t="s">
        <v>50</v>
      </c>
      <c r="D24" s="33">
        <v>1.0416666666666666E-2</v>
      </c>
      <c r="E24" s="35">
        <v>3.125E-2</v>
      </c>
      <c r="F24" s="55">
        <v>30</v>
      </c>
      <c r="G24" s="33">
        <v>0.10416666666666667</v>
      </c>
      <c r="H24" s="36">
        <v>105</v>
      </c>
      <c r="I24" s="37">
        <v>0.1076388888888889</v>
      </c>
      <c r="J24" s="4">
        <v>5</v>
      </c>
      <c r="K24" s="56"/>
      <c r="L24" s="50">
        <v>1.0416666666666666E-2</v>
      </c>
      <c r="M24" s="51"/>
      <c r="N24" s="52">
        <v>4.3055555555560003E-2</v>
      </c>
      <c r="O24" s="52">
        <v>8.4722222222220006E-2</v>
      </c>
      <c r="P24" s="57">
        <v>8.7499999999999994E-2</v>
      </c>
      <c r="Q24" s="56"/>
      <c r="R24" s="13">
        <f t="shared" si="6"/>
        <v>47.000000000006409</v>
      </c>
      <c r="S24" s="24">
        <f t="shared" si="7"/>
        <v>59.999999999990408</v>
      </c>
      <c r="T24" s="58">
        <f t="shared" si="8"/>
        <v>0</v>
      </c>
      <c r="U24" s="23">
        <f t="shared" si="9"/>
        <v>17.000000000006406</v>
      </c>
      <c r="V24" s="23">
        <f t="shared" si="10"/>
        <v>-28.000000000003197</v>
      </c>
      <c r="W24" s="23">
        <f t="shared" si="11"/>
        <v>-45.000000000009592</v>
      </c>
      <c r="X24" s="23">
        <f t="shared" si="12"/>
        <v>-24.000000000000014</v>
      </c>
      <c r="Y24" s="24">
        <f t="shared" si="13"/>
        <v>4.0000000000031832</v>
      </c>
      <c r="Z24" s="25">
        <f t="shared" si="14"/>
        <v>28.000000000003197</v>
      </c>
      <c r="AC24" s="27">
        <v>0</v>
      </c>
      <c r="AD24" s="53"/>
      <c r="AE24" s="28">
        <f t="shared" si="0"/>
        <v>30</v>
      </c>
      <c r="AF24" s="19">
        <v>120</v>
      </c>
      <c r="AG24" s="28">
        <f t="shared" si="1"/>
        <v>135</v>
      </c>
      <c r="AH24" s="29">
        <f t="shared" si="2"/>
        <v>0</v>
      </c>
      <c r="AI24" s="28">
        <f t="shared" si="3"/>
        <v>47.000000000006409</v>
      </c>
      <c r="AJ24" s="28">
        <f t="shared" si="4"/>
        <v>106.99999999999682</v>
      </c>
      <c r="AK24" s="28">
        <f t="shared" si="15"/>
        <v>103.49999999999841</v>
      </c>
      <c r="AL24" s="28">
        <f t="shared" si="5"/>
        <v>111</v>
      </c>
      <c r="AM24" s="19">
        <f t="shared" si="17"/>
        <v>203.00000000000318</v>
      </c>
    </row>
    <row r="25" spans="1:39">
      <c r="A25" s="30">
        <v>24</v>
      </c>
      <c r="B25" s="31" t="s">
        <v>73</v>
      </c>
      <c r="C25" s="32" t="s">
        <v>50</v>
      </c>
      <c r="D25" s="33">
        <v>1.0416666666666666E-2</v>
      </c>
      <c r="E25" s="35">
        <v>3.125E-2</v>
      </c>
      <c r="F25" s="34">
        <v>30</v>
      </c>
      <c r="G25" s="33">
        <v>0.10416666666666667</v>
      </c>
      <c r="H25" s="36">
        <v>105</v>
      </c>
      <c r="I25" s="37">
        <v>0.1076388888888889</v>
      </c>
      <c r="J25" s="4">
        <v>5</v>
      </c>
      <c r="K25" s="7"/>
      <c r="L25" s="50">
        <v>9.7222222222222224E-3</v>
      </c>
      <c r="M25" s="51"/>
      <c r="N25" s="52">
        <v>4.3055555555560003E-2</v>
      </c>
      <c r="O25" s="52">
        <v>8.5416666666669999E-2</v>
      </c>
      <c r="P25" s="33">
        <v>8.6805555555555552E-2</v>
      </c>
      <c r="Q25" s="7"/>
      <c r="R25" s="13">
        <f t="shared" si="6"/>
        <v>48.000000000006402</v>
      </c>
      <c r="S25" s="13">
        <f t="shared" si="7"/>
        <v>60.999999999998394</v>
      </c>
      <c r="T25" s="40">
        <f t="shared" si="8"/>
        <v>-0.99999999999999889</v>
      </c>
      <c r="U25" s="4">
        <f t="shared" si="9"/>
        <v>17.000000000006406</v>
      </c>
      <c r="V25" s="4">
        <f t="shared" si="10"/>
        <v>-26.999999999995207</v>
      </c>
      <c r="W25" s="4">
        <f t="shared" si="11"/>
        <v>-45.000000000001606</v>
      </c>
      <c r="X25" s="4">
        <f t="shared" si="12"/>
        <v>-25.000000000000011</v>
      </c>
      <c r="Y25" s="13">
        <f t="shared" si="13"/>
        <v>1.9999999999951967</v>
      </c>
      <c r="Z25" s="15">
        <f t="shared" si="14"/>
        <v>25.999999999995207</v>
      </c>
      <c r="AC25" s="18">
        <v>0</v>
      </c>
      <c r="AD25" s="53"/>
      <c r="AE25" s="19">
        <f t="shared" si="0"/>
        <v>30</v>
      </c>
      <c r="AF25" s="19">
        <v>120</v>
      </c>
      <c r="AG25" s="19">
        <f t="shared" si="1"/>
        <v>135</v>
      </c>
      <c r="AH25" s="20">
        <f t="shared" si="2"/>
        <v>-0.99999999999999889</v>
      </c>
      <c r="AI25" s="19">
        <f t="shared" si="3"/>
        <v>47.000000000006409</v>
      </c>
      <c r="AJ25" s="19">
        <f t="shared" si="4"/>
        <v>108.0000000000048</v>
      </c>
      <c r="AK25" s="19">
        <f t="shared" si="15"/>
        <v>104.0000000000024</v>
      </c>
      <c r="AL25" s="19">
        <f t="shared" si="5"/>
        <v>110</v>
      </c>
      <c r="AM25" s="19">
        <f t="shared" si="17"/>
        <v>200.9999999999952</v>
      </c>
    </row>
    <row r="26" spans="1:39">
      <c r="A26" s="30">
        <v>25</v>
      </c>
      <c r="B26" s="31" t="s">
        <v>74</v>
      </c>
      <c r="C26" s="32" t="s">
        <v>50</v>
      </c>
      <c r="D26" s="33">
        <v>1.0416666666666666E-2</v>
      </c>
      <c r="E26" s="35">
        <v>3.125E-2</v>
      </c>
      <c r="F26" s="34">
        <v>30</v>
      </c>
      <c r="G26" s="33">
        <v>0.10416666666666667</v>
      </c>
      <c r="H26" s="36">
        <v>105</v>
      </c>
      <c r="I26" s="37">
        <v>0.1076388888888889</v>
      </c>
      <c r="J26" s="4">
        <v>5</v>
      </c>
      <c r="K26" s="7"/>
      <c r="L26" s="50">
        <v>7.6388888888888886E-3</v>
      </c>
      <c r="M26" s="51"/>
      <c r="N26" s="52">
        <v>4.0277777777780001E-2</v>
      </c>
      <c r="O26" s="52">
        <v>8.3333333333329998E-2</v>
      </c>
      <c r="P26" s="33">
        <v>8.611111111111111E-2</v>
      </c>
      <c r="Q26" s="7"/>
      <c r="R26" s="13">
        <f t="shared" si="6"/>
        <v>47.000000000003197</v>
      </c>
      <c r="S26" s="13">
        <f t="shared" si="7"/>
        <v>61.999999999991999</v>
      </c>
      <c r="T26" s="40">
        <f t="shared" si="8"/>
        <v>-3.9999999999999996</v>
      </c>
      <c r="U26" s="4">
        <f t="shared" si="9"/>
        <v>13.000000000003201</v>
      </c>
      <c r="V26" s="4">
        <f t="shared" si="10"/>
        <v>-30.00000000000481</v>
      </c>
      <c r="W26" s="4">
        <f t="shared" si="11"/>
        <v>-47.000000000008001</v>
      </c>
      <c r="X26" s="4">
        <f t="shared" si="12"/>
        <v>-26.000000000000007</v>
      </c>
      <c r="Y26" s="13">
        <f t="shared" si="13"/>
        <v>4.0000000000048015</v>
      </c>
      <c r="Z26" s="15">
        <f t="shared" si="14"/>
        <v>26.00000000000481</v>
      </c>
      <c r="AC26" s="18">
        <v>0</v>
      </c>
      <c r="AD26" s="53"/>
      <c r="AE26" s="19">
        <f t="shared" si="0"/>
        <v>30</v>
      </c>
      <c r="AF26" s="19">
        <v>120</v>
      </c>
      <c r="AG26" s="19">
        <f t="shared" si="1"/>
        <v>135</v>
      </c>
      <c r="AH26" s="20">
        <f t="shared" si="2"/>
        <v>-3.9999999999999996</v>
      </c>
      <c r="AI26" s="19">
        <f t="shared" si="3"/>
        <v>43.000000000003197</v>
      </c>
      <c r="AJ26" s="19">
        <f t="shared" si="4"/>
        <v>104.9999999999952</v>
      </c>
      <c r="AK26" s="19">
        <f t="shared" si="15"/>
        <v>102.4999999999976</v>
      </c>
      <c r="AL26" s="19">
        <f t="shared" si="5"/>
        <v>109</v>
      </c>
      <c r="AM26" s="19">
        <f t="shared" si="17"/>
        <v>201.0000000000048</v>
      </c>
    </row>
    <row r="27" spans="1:39">
      <c r="A27" s="30">
        <v>26</v>
      </c>
      <c r="B27" s="31" t="s">
        <v>75</v>
      </c>
      <c r="C27" s="32" t="s">
        <v>50</v>
      </c>
      <c r="D27" s="33">
        <v>1.0416666666666666E-2</v>
      </c>
      <c r="E27" s="35">
        <v>3.125E-2</v>
      </c>
      <c r="F27" s="34">
        <v>30</v>
      </c>
      <c r="G27" s="33">
        <v>0.10416666666666667</v>
      </c>
      <c r="H27" s="36">
        <v>105</v>
      </c>
      <c r="I27" s="37">
        <v>0.1076388888888889</v>
      </c>
      <c r="J27" s="4">
        <v>5</v>
      </c>
      <c r="K27" s="7"/>
      <c r="L27" s="50">
        <v>2.6388888888888889E-2</v>
      </c>
      <c r="M27" s="59"/>
      <c r="N27" s="52">
        <v>4.2361111111110003E-2</v>
      </c>
      <c r="O27" s="52">
        <v>8.4722222222220006E-2</v>
      </c>
      <c r="P27" s="33">
        <v>8.7499999999999994E-2</v>
      </c>
      <c r="Q27" s="7"/>
      <c r="R27" s="13">
        <f t="shared" si="6"/>
        <v>22.999999999998405</v>
      </c>
      <c r="S27" s="13">
        <f t="shared" si="7"/>
        <v>60.999999999998401</v>
      </c>
      <c r="T27" s="40">
        <f t="shared" si="8"/>
        <v>23</v>
      </c>
      <c r="U27" s="4">
        <f t="shared" si="9"/>
        <v>15.999999999998405</v>
      </c>
      <c r="V27" s="4">
        <f t="shared" si="10"/>
        <v>-28.000000000003197</v>
      </c>
      <c r="W27" s="4">
        <f t="shared" si="11"/>
        <v>-21.000000000001599</v>
      </c>
      <c r="X27" s="4">
        <f t="shared" si="12"/>
        <v>-24.000000000000014</v>
      </c>
      <c r="Y27" s="13">
        <f t="shared" si="13"/>
        <v>4.0000000000031832</v>
      </c>
      <c r="Z27" s="15">
        <f t="shared" si="14"/>
        <v>51.000000000003197</v>
      </c>
      <c r="AC27" s="18">
        <v>0</v>
      </c>
      <c r="AD27" s="53"/>
      <c r="AE27" s="19">
        <f t="shared" si="0"/>
        <v>30</v>
      </c>
      <c r="AF27" s="19">
        <v>120</v>
      </c>
      <c r="AG27" s="19">
        <f t="shared" si="1"/>
        <v>135</v>
      </c>
      <c r="AH27" s="20">
        <f t="shared" si="2"/>
        <v>23</v>
      </c>
      <c r="AI27" s="19">
        <f t="shared" si="3"/>
        <v>45.999999999998408</v>
      </c>
      <c r="AJ27" s="19">
        <f t="shared" si="4"/>
        <v>106.99999999999682</v>
      </c>
      <c r="AK27" s="19">
        <f t="shared" si="15"/>
        <v>103.49999999999841</v>
      </c>
      <c r="AL27" s="19">
        <f t="shared" si="5"/>
        <v>111</v>
      </c>
      <c r="AM27" s="19">
        <f t="shared" si="17"/>
        <v>226.00000000000318</v>
      </c>
    </row>
    <row r="28" spans="1:39">
      <c r="A28" s="30">
        <v>27</v>
      </c>
      <c r="B28" s="31" t="s">
        <v>76</v>
      </c>
      <c r="C28" s="32" t="s">
        <v>50</v>
      </c>
      <c r="D28" s="33">
        <v>1.0416666666666666E-2</v>
      </c>
      <c r="E28" s="35">
        <v>3.125E-2</v>
      </c>
      <c r="F28" s="34">
        <v>30</v>
      </c>
      <c r="G28" s="33">
        <v>0.10416666666666667</v>
      </c>
      <c r="H28" s="36">
        <v>105</v>
      </c>
      <c r="I28" s="37">
        <v>0.1076388888888889</v>
      </c>
      <c r="J28" s="4">
        <v>5</v>
      </c>
      <c r="K28" s="7"/>
      <c r="L28" s="50">
        <v>8.3333333333333332E-3</v>
      </c>
      <c r="M28" s="51"/>
      <c r="N28" s="52">
        <v>4.5138888888889998E-2</v>
      </c>
      <c r="O28" s="52">
        <v>9.0277777777779997E-2</v>
      </c>
      <c r="P28" s="33">
        <v>9.3055555555555558E-2</v>
      </c>
      <c r="Q28" s="7"/>
      <c r="R28" s="13">
        <f t="shared" si="6"/>
        <v>53.000000000001599</v>
      </c>
      <c r="S28" s="13">
        <f t="shared" si="7"/>
        <v>65.000000000001592</v>
      </c>
      <c r="T28" s="40">
        <f t="shared" si="8"/>
        <v>-2.9999999999999991</v>
      </c>
      <c r="U28" s="4">
        <f t="shared" si="9"/>
        <v>20.000000000001599</v>
      </c>
      <c r="V28" s="4">
        <f t="shared" si="10"/>
        <v>-19.99999999999681</v>
      </c>
      <c r="W28" s="4">
        <f t="shared" si="11"/>
        <v>-42.999999999998408</v>
      </c>
      <c r="X28" s="4">
        <f t="shared" si="12"/>
        <v>-16.000000000000004</v>
      </c>
      <c r="Y28" s="13">
        <f t="shared" si="13"/>
        <v>3.9999999999968083</v>
      </c>
      <c r="Z28" s="15">
        <f t="shared" si="14"/>
        <v>16.99999999999681</v>
      </c>
      <c r="AC28" s="18">
        <v>0</v>
      </c>
      <c r="AD28" s="53"/>
      <c r="AE28" s="19">
        <f t="shared" si="0"/>
        <v>30</v>
      </c>
      <c r="AF28" s="19">
        <v>120</v>
      </c>
      <c r="AG28" s="19">
        <f t="shared" si="1"/>
        <v>135</v>
      </c>
      <c r="AH28" s="20">
        <f t="shared" si="2"/>
        <v>-2.9999999999999991</v>
      </c>
      <c r="AI28" s="19">
        <f t="shared" si="3"/>
        <v>50.000000000001599</v>
      </c>
      <c r="AJ28" s="19">
        <f t="shared" si="4"/>
        <v>115.00000000000318</v>
      </c>
      <c r="AK28" s="19">
        <f t="shared" si="15"/>
        <v>107.50000000000159</v>
      </c>
      <c r="AL28" s="19">
        <f t="shared" si="5"/>
        <v>118.99999999999999</v>
      </c>
      <c r="AM28" s="19">
        <f t="shared" si="17"/>
        <v>191.99999999999682</v>
      </c>
    </row>
    <row r="29" spans="1:39">
      <c r="A29" s="30">
        <v>28</v>
      </c>
      <c r="B29" s="31" t="s">
        <v>77</v>
      </c>
      <c r="C29" s="32" t="s">
        <v>50</v>
      </c>
      <c r="D29" s="33">
        <v>1.0416666666666666E-2</v>
      </c>
      <c r="E29" s="35">
        <v>3.125E-2</v>
      </c>
      <c r="F29" s="34">
        <v>30</v>
      </c>
      <c r="G29" s="33">
        <v>0.10416666666666667</v>
      </c>
      <c r="H29" s="36">
        <v>105</v>
      </c>
      <c r="I29" s="37">
        <v>0.1076388888888889</v>
      </c>
      <c r="J29" s="4">
        <v>5</v>
      </c>
      <c r="K29" s="7"/>
      <c r="L29" s="50">
        <v>9.0277777777777787E-3</v>
      </c>
      <c r="M29" s="59"/>
      <c r="N29" s="52">
        <v>4.6527777777779999E-2</v>
      </c>
      <c r="O29" s="52">
        <v>8.8194444444439996E-2</v>
      </c>
      <c r="P29" s="33">
        <v>9.0277777777777776E-2</v>
      </c>
      <c r="Q29" s="7"/>
      <c r="R29" s="13">
        <f t="shared" si="6"/>
        <v>54.000000000003197</v>
      </c>
      <c r="S29" s="13">
        <f t="shared" si="7"/>
        <v>59.999999999990393</v>
      </c>
      <c r="T29" s="40">
        <f t="shared" si="8"/>
        <v>-1.9999999999999978</v>
      </c>
      <c r="U29" s="4">
        <f t="shared" si="9"/>
        <v>22.000000000003197</v>
      </c>
      <c r="V29" s="4">
        <f t="shared" si="10"/>
        <v>-23.000000000006413</v>
      </c>
      <c r="W29" s="4">
        <f t="shared" si="11"/>
        <v>-47.000000000009607</v>
      </c>
      <c r="X29" s="4">
        <f t="shared" si="12"/>
        <v>-20.000000000000007</v>
      </c>
      <c r="Y29" s="13">
        <f t="shared" si="13"/>
        <v>3.0000000000064042</v>
      </c>
      <c r="Z29" s="15">
        <f t="shared" si="14"/>
        <v>21.000000000006416</v>
      </c>
      <c r="AC29" s="18">
        <v>0</v>
      </c>
      <c r="AD29" s="53"/>
      <c r="AE29" s="19">
        <f t="shared" si="0"/>
        <v>30</v>
      </c>
      <c r="AF29" s="19">
        <v>120</v>
      </c>
      <c r="AG29" s="19">
        <f t="shared" si="1"/>
        <v>135</v>
      </c>
      <c r="AH29" s="20">
        <f t="shared" si="2"/>
        <v>-1.9999999999999978</v>
      </c>
      <c r="AI29" s="19">
        <f t="shared" si="3"/>
        <v>52.000000000003197</v>
      </c>
      <c r="AJ29" s="19">
        <f t="shared" si="4"/>
        <v>111.99999999999359</v>
      </c>
      <c r="AK29" s="19">
        <f t="shared" si="15"/>
        <v>105.99999999999679</v>
      </c>
      <c r="AL29" s="19">
        <f t="shared" si="5"/>
        <v>115</v>
      </c>
      <c r="AM29" s="19">
        <f t="shared" si="17"/>
        <v>196.00000000000642</v>
      </c>
    </row>
    <row r="30" spans="1:39">
      <c r="A30" s="30">
        <v>29</v>
      </c>
      <c r="B30" s="31" t="s">
        <v>78</v>
      </c>
      <c r="C30" s="32" t="s">
        <v>50</v>
      </c>
      <c r="D30" s="33">
        <v>1.0416666666666701E-2</v>
      </c>
      <c r="E30" s="35">
        <v>3.125E-2</v>
      </c>
      <c r="F30" s="34">
        <v>30</v>
      </c>
      <c r="G30" s="33">
        <v>0.104166666666667</v>
      </c>
      <c r="H30" s="36">
        <v>105</v>
      </c>
      <c r="I30" s="37">
        <v>0.10763888888888901</v>
      </c>
      <c r="J30" s="4">
        <v>5</v>
      </c>
      <c r="K30" s="7"/>
      <c r="L30" s="50">
        <v>8.3333333333333332E-3</v>
      </c>
      <c r="M30" s="59"/>
      <c r="N30" s="52">
        <v>4.0972222222220002E-2</v>
      </c>
      <c r="O30" s="52">
        <v>8.3333333333329998E-2</v>
      </c>
      <c r="P30" s="33">
        <v>8.611111111111111E-2</v>
      </c>
      <c r="Q30" s="7"/>
      <c r="R30" s="13">
        <f t="shared" si="6"/>
        <v>46.999999999996803</v>
      </c>
      <c r="S30" s="13">
        <f t="shared" si="7"/>
        <v>60.999999999998394</v>
      </c>
      <c r="T30" s="40">
        <f t="shared" si="8"/>
        <v>-3.0000000000000493</v>
      </c>
      <c r="U30" s="4">
        <f t="shared" si="9"/>
        <v>13.999999999996803</v>
      </c>
      <c r="V30" s="4">
        <f t="shared" si="10"/>
        <v>-30.00000000000529</v>
      </c>
      <c r="W30" s="4">
        <f t="shared" si="11"/>
        <v>-47.000000000001648</v>
      </c>
      <c r="X30" s="4">
        <f t="shared" si="12"/>
        <v>-26.000000000000487</v>
      </c>
      <c r="Y30" s="13">
        <f t="shared" si="13"/>
        <v>4.0000000000048015</v>
      </c>
      <c r="Z30" s="15">
        <f t="shared" si="14"/>
        <v>27.00000000000524</v>
      </c>
      <c r="AC30" s="18">
        <v>0</v>
      </c>
      <c r="AD30" s="53"/>
      <c r="AE30" s="19">
        <f t="shared" si="0"/>
        <v>30</v>
      </c>
      <c r="AF30" s="19">
        <v>120</v>
      </c>
      <c r="AG30" s="19">
        <f t="shared" si="1"/>
        <v>135</v>
      </c>
      <c r="AH30" s="20">
        <f t="shared" si="2"/>
        <v>-3.0000000000000493</v>
      </c>
      <c r="AI30" s="19">
        <f t="shared" si="3"/>
        <v>43.999999999996803</v>
      </c>
      <c r="AJ30" s="19">
        <f t="shared" si="4"/>
        <v>104.9999999999952</v>
      </c>
      <c r="AK30" s="19">
        <f t="shared" si="15"/>
        <v>102.4999999999976</v>
      </c>
      <c r="AL30" s="19">
        <f t="shared" si="5"/>
        <v>109</v>
      </c>
      <c r="AM30" s="19">
        <f t="shared" si="17"/>
        <v>202.00000000000523</v>
      </c>
    </row>
    <row r="31" spans="1:39" s="26" customFormat="1">
      <c r="A31" s="30">
        <v>30</v>
      </c>
      <c r="B31" s="31" t="s">
        <v>79</v>
      </c>
      <c r="C31" s="32" t="s">
        <v>50</v>
      </c>
      <c r="D31" s="33">
        <v>1.0416666666666701E-2</v>
      </c>
      <c r="E31" s="35">
        <v>3.125E-2</v>
      </c>
      <c r="F31" s="34">
        <v>30</v>
      </c>
      <c r="G31" s="33">
        <v>0.104166666666667</v>
      </c>
      <c r="H31" s="36">
        <v>105</v>
      </c>
      <c r="I31" s="37">
        <v>0.10763888888888901</v>
      </c>
      <c r="J31" s="4">
        <v>5</v>
      </c>
      <c r="K31" s="7"/>
      <c r="L31" s="50">
        <v>1.2499999999999999E-2</v>
      </c>
      <c r="M31" s="59"/>
      <c r="N31" s="52">
        <v>4.1666666666670002E-2</v>
      </c>
      <c r="O31" s="52">
        <v>8.4027777777780005E-2</v>
      </c>
      <c r="P31" s="33">
        <v>8.6805555555555552E-2</v>
      </c>
      <c r="Q31" s="7"/>
      <c r="R31" s="13">
        <f t="shared" si="6"/>
        <v>42.000000000004803</v>
      </c>
      <c r="S31" s="13">
        <f t="shared" si="7"/>
        <v>60.999999999998401</v>
      </c>
      <c r="T31" s="40">
        <v>0</v>
      </c>
      <c r="U31" s="4">
        <f t="shared" si="9"/>
        <v>15.000000000004803</v>
      </c>
      <c r="V31" s="4">
        <f t="shared" si="10"/>
        <v>-28.999999999997279</v>
      </c>
      <c r="W31" s="4">
        <f t="shared" si="11"/>
        <v>-44.000000000001599</v>
      </c>
      <c r="X31" s="4">
        <f t="shared" si="12"/>
        <v>-25.00000000000049</v>
      </c>
      <c r="Y31" s="13">
        <f t="shared" si="13"/>
        <v>3.9999999999967883</v>
      </c>
      <c r="Z31" s="15">
        <f t="shared" si="14"/>
        <v>28.999999999997279</v>
      </c>
      <c r="AA31"/>
      <c r="AB31"/>
      <c r="AC31" s="18">
        <v>0</v>
      </c>
      <c r="AD31" s="53"/>
      <c r="AE31" s="19">
        <f t="shared" si="0"/>
        <v>30</v>
      </c>
      <c r="AF31" s="19">
        <v>120</v>
      </c>
      <c r="AG31" s="19">
        <f t="shared" si="1"/>
        <v>135</v>
      </c>
      <c r="AH31" s="20">
        <v>3</v>
      </c>
      <c r="AI31" s="19">
        <f t="shared" si="3"/>
        <v>45.000000000004803</v>
      </c>
      <c r="AJ31" s="19">
        <f t="shared" si="4"/>
        <v>106.00000000000321</v>
      </c>
      <c r="AK31" s="19">
        <f t="shared" si="15"/>
        <v>103.00000000000161</v>
      </c>
      <c r="AL31" s="19">
        <f t="shared" si="5"/>
        <v>110</v>
      </c>
      <c r="AM31" s="19">
        <f t="shared" si="17"/>
        <v>203.99999999999727</v>
      </c>
    </row>
    <row r="32" spans="1:39" ht="15.5">
      <c r="L32" s="72"/>
      <c r="N32" s="51"/>
      <c r="AC32" s="150" t="s">
        <v>30</v>
      </c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</row>
    <row r="33" spans="4:26">
      <c r="L33" s="5">
        <f>AVERAGE(L2:L31)</f>
        <v>1.4074074074074077E-2</v>
      </c>
      <c r="M33" s="5"/>
      <c r="N33" s="5">
        <f>AVERAGE(N2:N31)</f>
        <v>4.5694444444446668E-2</v>
      </c>
      <c r="O33" s="5">
        <f>AVERAGE(O2:O31)</f>
        <v>8.7199074074073318E-2</v>
      </c>
      <c r="P33" s="5">
        <f>AVERAGE(P2:P31)</f>
        <v>8.9722222222222203E-2</v>
      </c>
      <c r="R33" s="14">
        <f t="shared" ref="R33:Z33" si="18">AVERAGE(R2:R31)</f>
        <v>45.533333333336522</v>
      </c>
      <c r="S33" s="14">
        <f t="shared" si="18"/>
        <v>59.766666666662417</v>
      </c>
      <c r="T33" s="16">
        <f t="shared" si="18"/>
        <v>5.1666666666666625</v>
      </c>
      <c r="U33" s="16">
        <f t="shared" si="18"/>
        <v>20.800000000003202</v>
      </c>
      <c r="V33" s="16">
        <f t="shared" si="18"/>
        <v>-24.433333333334438</v>
      </c>
      <c r="W33" s="16">
        <f t="shared" si="18"/>
        <v>-40.066666666670933</v>
      </c>
      <c r="X33" s="16">
        <f t="shared" si="18"/>
        <v>-20.800000000000033</v>
      </c>
      <c r="Y33" s="16">
        <f t="shared" si="18"/>
        <v>3.6333333333343973</v>
      </c>
      <c r="Z33" s="14">
        <f t="shared" si="18"/>
        <v>29.600000000001096</v>
      </c>
    </row>
    <row r="36" spans="4:26">
      <c r="D36" s="2"/>
    </row>
    <row r="37" spans="4:26">
      <c r="D37" s="2"/>
    </row>
    <row r="38" spans="4:26">
      <c r="D38" s="2"/>
    </row>
    <row r="39" spans="4:26">
      <c r="D39" s="2"/>
    </row>
    <row r="40" spans="4:26">
      <c r="D40" s="2"/>
    </row>
    <row r="41" spans="4:26">
      <c r="D41" s="2"/>
    </row>
    <row r="42" spans="4:26">
      <c r="D42" s="2"/>
    </row>
    <row r="43" spans="4:26">
      <c r="D43" s="2"/>
    </row>
    <row r="44" spans="4:26">
      <c r="D44" s="2"/>
    </row>
    <row r="45" spans="4:26">
      <c r="D45" s="2"/>
    </row>
    <row r="46" spans="4:26">
      <c r="D46" s="2"/>
    </row>
    <row r="47" spans="4:26">
      <c r="D47" s="2"/>
    </row>
    <row r="48" spans="4:26">
      <c r="D48" s="2"/>
    </row>
  </sheetData>
  <mergeCells count="1">
    <mergeCell ref="AC32:AM32"/>
  </mergeCells>
  <conditionalFormatting sqref="R2:R31">
    <cfRule type="cellIs" dxfId="81" priority="5" operator="greaterThan">
      <formula>$F$2</formula>
    </cfRule>
    <cfRule type="cellIs" dxfId="80" priority="6" operator="lessThanOrEqual">
      <formula>$F$2</formula>
    </cfRule>
  </conditionalFormatting>
  <conditionalFormatting sqref="S2:S31">
    <cfRule type="cellIs" dxfId="79" priority="3" operator="greaterThan">
      <formula>$H$2</formula>
    </cfRule>
    <cfRule type="cellIs" dxfId="78" priority="4" operator="lessThanOrEqual">
      <formula>$H$2</formula>
    </cfRule>
  </conditionalFormatting>
  <conditionalFormatting sqref="Y2:Y31">
    <cfRule type="cellIs" dxfId="77" priority="1" operator="greaterThan">
      <formula>6</formula>
    </cfRule>
  </conditionalFormatting>
  <conditionalFormatting sqref="Z2:Z31">
    <cfRule type="cellIs" dxfId="76" priority="2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A7CF-CBD5-490A-80F8-61A544C884DA}">
  <dimension ref="A1:AV48"/>
  <sheetViews>
    <sheetView showGridLines="0" topLeftCell="P1" zoomScale="85" zoomScaleNormal="85" workbookViewId="0">
      <pane ySplit="1" topLeftCell="A13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80</v>
      </c>
      <c r="T1" s="9"/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80</v>
      </c>
      <c r="AV1" s="44"/>
    </row>
    <row r="2" spans="1:48">
      <c r="A2" s="30">
        <v>45809</v>
      </c>
      <c r="B2" s="31">
        <v>45809</v>
      </c>
      <c r="C2" s="32" t="s">
        <v>81</v>
      </c>
      <c r="D2" s="33">
        <v>0</v>
      </c>
      <c r="E2" s="35">
        <v>2.0833333333333332E-2</v>
      </c>
      <c r="F2" s="34">
        <v>30</v>
      </c>
      <c r="G2" s="33">
        <v>0.16666666666666666</v>
      </c>
      <c r="H2" s="36">
        <v>210</v>
      </c>
      <c r="I2" s="37">
        <v>0.14513888888888887</v>
      </c>
      <c r="J2" s="4">
        <v>5</v>
      </c>
      <c r="K2" s="7"/>
      <c r="L2" s="2">
        <v>2.0833333333333332E-2</v>
      </c>
      <c r="M2" s="73" t="s">
        <v>82</v>
      </c>
      <c r="N2" s="73" t="s">
        <v>83</v>
      </c>
      <c r="O2" s="73" t="s">
        <v>84</v>
      </c>
      <c r="P2" s="47">
        <v>2.9608500000000002</v>
      </c>
      <c r="Q2" s="73" t="s">
        <v>44</v>
      </c>
      <c r="S2">
        <v>24</v>
      </c>
      <c r="U2" s="7"/>
      <c r="V2" s="13">
        <v>15.000000000000002</v>
      </c>
      <c r="W2" s="13">
        <v>159</v>
      </c>
      <c r="X2" s="40">
        <v>30</v>
      </c>
      <c r="Y2" s="4">
        <v>15.000000000000002</v>
      </c>
      <c r="Z2" s="4">
        <v>-35.999999999999993</v>
      </c>
      <c r="AA2" s="4">
        <v>-21</v>
      </c>
      <c r="AB2" s="4">
        <v>-30.999999999999972</v>
      </c>
      <c r="AC2" s="13">
        <v>5</v>
      </c>
      <c r="AD2" s="15">
        <v>66</v>
      </c>
      <c r="AG2" s="18">
        <v>-20</v>
      </c>
      <c r="AH2" s="19">
        <v>10</v>
      </c>
      <c r="AI2" s="19">
        <v>225</v>
      </c>
      <c r="AJ2" s="20">
        <v>10</v>
      </c>
      <c r="AK2" s="19">
        <v>10</v>
      </c>
      <c r="AL2" s="19">
        <v>25</v>
      </c>
      <c r="AM2" s="19">
        <v>25</v>
      </c>
      <c r="AN2" s="19">
        <v>184</v>
      </c>
      <c r="AO2" s="19">
        <v>162</v>
      </c>
      <c r="AP2" s="19">
        <v>189</v>
      </c>
      <c r="AQ2" s="19">
        <v>416</v>
      </c>
      <c r="AR2" s="47">
        <v>-151.95749999999998</v>
      </c>
      <c r="AS2">
        <v>-225</v>
      </c>
      <c r="AU2">
        <v>-76</v>
      </c>
    </row>
    <row r="3" spans="1:48">
      <c r="A3" s="30">
        <v>45810</v>
      </c>
      <c r="B3" s="31">
        <v>45810</v>
      </c>
      <c r="C3" s="32" t="s">
        <v>81</v>
      </c>
      <c r="D3" s="33">
        <v>0</v>
      </c>
      <c r="E3" s="35">
        <v>2.0833333333333332E-2</v>
      </c>
      <c r="F3" s="34">
        <v>30</v>
      </c>
      <c r="G3" s="33">
        <v>0.16666666666666666</v>
      </c>
      <c r="H3" s="36">
        <v>210</v>
      </c>
      <c r="I3" s="37">
        <v>0.14444444444444443</v>
      </c>
      <c r="J3" s="4">
        <v>5</v>
      </c>
      <c r="K3" s="7"/>
      <c r="L3" s="2">
        <v>3.125E-2</v>
      </c>
      <c r="M3" s="73" t="s">
        <v>85</v>
      </c>
      <c r="N3" s="73" t="s">
        <v>86</v>
      </c>
      <c r="O3" s="73" t="s">
        <v>87</v>
      </c>
      <c r="P3" s="47">
        <v>3.0286499999999998</v>
      </c>
      <c r="R3" s="73" t="s">
        <v>44</v>
      </c>
      <c r="S3">
        <v>14</v>
      </c>
      <c r="U3" s="7"/>
      <c r="V3" s="13">
        <v>8.9999999999999982</v>
      </c>
      <c r="W3" s="13">
        <v>149</v>
      </c>
      <c r="X3" s="40">
        <v>45</v>
      </c>
      <c r="Y3" s="4">
        <v>24</v>
      </c>
      <c r="Z3" s="4">
        <v>-36.999999999999986</v>
      </c>
      <c r="AA3" s="4">
        <v>-16</v>
      </c>
      <c r="AB3" s="4">
        <v>-32.999999999999964</v>
      </c>
      <c r="AC3" s="13">
        <v>4</v>
      </c>
      <c r="AD3" s="15">
        <v>81.999999999999986</v>
      </c>
      <c r="AG3" s="18">
        <v>-20</v>
      </c>
      <c r="AH3" s="19">
        <v>10</v>
      </c>
      <c r="AI3" s="19">
        <v>225</v>
      </c>
      <c r="AJ3" s="20">
        <v>25</v>
      </c>
      <c r="AK3" s="19">
        <v>25</v>
      </c>
      <c r="AL3" s="19">
        <v>34</v>
      </c>
      <c r="AM3" s="19">
        <v>34</v>
      </c>
      <c r="AN3" s="19">
        <v>183</v>
      </c>
      <c r="AO3" s="19">
        <v>161.5</v>
      </c>
      <c r="AP3" s="19">
        <v>187</v>
      </c>
      <c r="AQ3" s="19">
        <v>432</v>
      </c>
      <c r="AR3" s="47">
        <v>-148.5675</v>
      </c>
      <c r="AT3">
        <v>-210</v>
      </c>
      <c r="AU3">
        <v>-86</v>
      </c>
    </row>
    <row r="4" spans="1:48">
      <c r="A4" s="30">
        <v>45811</v>
      </c>
      <c r="B4" s="31">
        <v>45811</v>
      </c>
      <c r="C4" s="32" t="s">
        <v>81</v>
      </c>
      <c r="D4" s="33">
        <v>0</v>
      </c>
      <c r="E4" s="35">
        <v>2.0833333333333332E-2</v>
      </c>
      <c r="F4" s="34">
        <v>30</v>
      </c>
      <c r="G4" s="33">
        <v>0.16666666666666666</v>
      </c>
      <c r="H4" s="36">
        <v>210</v>
      </c>
      <c r="I4" s="37">
        <v>0.13541666666666666</v>
      </c>
      <c r="J4" s="4">
        <v>5</v>
      </c>
      <c r="K4" s="7"/>
      <c r="L4" s="2">
        <v>2.013888888888889E-2</v>
      </c>
      <c r="M4" s="73" t="s">
        <v>88</v>
      </c>
      <c r="N4" s="73" t="s">
        <v>89</v>
      </c>
      <c r="O4" s="73" t="s">
        <v>90</v>
      </c>
      <c r="P4" s="47">
        <v>3.0231499999999998</v>
      </c>
      <c r="S4">
        <v>18</v>
      </c>
      <c r="U4" s="7"/>
      <c r="V4" s="13">
        <v>14.999999999999996</v>
      </c>
      <c r="W4" s="13">
        <v>146</v>
      </c>
      <c r="X4" s="40">
        <v>29.000000000000004</v>
      </c>
      <c r="Y4" s="4">
        <v>14</v>
      </c>
      <c r="Z4" s="4">
        <v>-49.999999999999986</v>
      </c>
      <c r="AA4" s="4">
        <v>-35</v>
      </c>
      <c r="AB4" s="4">
        <v>-46</v>
      </c>
      <c r="AC4" s="13">
        <v>4</v>
      </c>
      <c r="AD4" s="15">
        <v>78.999999999999986</v>
      </c>
      <c r="AG4" s="18">
        <v>-20</v>
      </c>
      <c r="AH4" s="19">
        <v>10</v>
      </c>
      <c r="AI4" s="19">
        <v>225</v>
      </c>
      <c r="AJ4" s="20">
        <v>9.0000000000000036</v>
      </c>
      <c r="AK4" s="19">
        <v>9.0000000000000036</v>
      </c>
      <c r="AL4" s="19">
        <v>24</v>
      </c>
      <c r="AM4" s="19">
        <v>24</v>
      </c>
      <c r="AN4" s="19">
        <v>170</v>
      </c>
      <c r="AO4" s="19">
        <v>155</v>
      </c>
      <c r="AP4" s="19">
        <v>174</v>
      </c>
      <c r="AQ4" s="19">
        <v>429</v>
      </c>
      <c r="AR4" s="47">
        <v>-148.8425</v>
      </c>
      <c r="AU4">
        <v>-82</v>
      </c>
    </row>
    <row r="5" spans="1:48">
      <c r="A5" s="30">
        <v>45812</v>
      </c>
      <c r="B5" s="31">
        <v>45812</v>
      </c>
      <c r="C5" s="32" t="s">
        <v>81</v>
      </c>
      <c r="D5" s="33">
        <v>0</v>
      </c>
      <c r="E5" s="35">
        <v>2.0833333333333332E-2</v>
      </c>
      <c r="F5" s="34">
        <v>30</v>
      </c>
      <c r="G5" s="33">
        <v>0.16666666666666666</v>
      </c>
      <c r="H5" s="36">
        <v>210</v>
      </c>
      <c r="I5" s="37">
        <v>0.1763888888888889</v>
      </c>
      <c r="J5" s="4">
        <v>5</v>
      </c>
      <c r="K5" s="7"/>
      <c r="L5" s="2">
        <v>4.8611111111111112E-2</v>
      </c>
      <c r="M5" s="73" t="s">
        <v>91</v>
      </c>
      <c r="N5" s="73" t="s">
        <v>92</v>
      </c>
      <c r="O5" s="73" t="s">
        <v>93</v>
      </c>
      <c r="P5" s="47">
        <v>3.0327000000000002</v>
      </c>
      <c r="Q5" s="73" t="s">
        <v>44</v>
      </c>
      <c r="S5">
        <v>26</v>
      </c>
      <c r="U5" s="7"/>
      <c r="V5" s="13">
        <v>19.000000000000004</v>
      </c>
      <c r="W5" s="13">
        <v>160.00000000000003</v>
      </c>
      <c r="X5" s="40">
        <v>70</v>
      </c>
      <c r="Y5" s="4">
        <v>59.000000000000007</v>
      </c>
      <c r="Z5" s="4">
        <v>9.000000000000048</v>
      </c>
      <c r="AA5" s="4">
        <v>20.000000000000028</v>
      </c>
      <c r="AB5" s="4">
        <v>14.00000000000003</v>
      </c>
      <c r="AC5" s="13">
        <v>5</v>
      </c>
      <c r="AD5" s="15">
        <v>60.99999999999995</v>
      </c>
      <c r="AG5" s="18">
        <v>-20</v>
      </c>
      <c r="AH5" s="19">
        <v>10</v>
      </c>
      <c r="AI5" s="19">
        <v>225</v>
      </c>
      <c r="AJ5" s="20">
        <v>50</v>
      </c>
      <c r="AK5" s="19">
        <v>50</v>
      </c>
      <c r="AL5" s="19">
        <v>69</v>
      </c>
      <c r="AM5" s="19">
        <v>69</v>
      </c>
      <c r="AN5" s="19">
        <v>229.00000000000003</v>
      </c>
      <c r="AO5" s="19">
        <v>184.5</v>
      </c>
      <c r="AP5" s="19">
        <v>234.00000000000003</v>
      </c>
      <c r="AQ5" s="19">
        <v>410.99999999999994</v>
      </c>
      <c r="AR5" s="47">
        <v>-148.36499999999998</v>
      </c>
      <c r="AS5">
        <v>-225</v>
      </c>
      <c r="AU5">
        <v>-74</v>
      </c>
    </row>
    <row r="6" spans="1:48">
      <c r="A6" s="30">
        <v>45813</v>
      </c>
      <c r="B6" s="31">
        <v>45813</v>
      </c>
      <c r="C6" s="32" t="s">
        <v>81</v>
      </c>
      <c r="D6" s="33">
        <v>0</v>
      </c>
      <c r="E6" s="35">
        <v>2.0833333333333332E-2</v>
      </c>
      <c r="F6" s="34">
        <v>30</v>
      </c>
      <c r="G6" s="33">
        <v>0.16666666666666666</v>
      </c>
      <c r="H6" s="36">
        <v>210</v>
      </c>
      <c r="I6" s="37">
        <v>0.16666666666666666</v>
      </c>
      <c r="J6" s="4">
        <v>5</v>
      </c>
      <c r="K6" s="7"/>
      <c r="L6" s="2">
        <v>3.6111111111111115E-2</v>
      </c>
      <c r="M6" s="73" t="s">
        <v>94</v>
      </c>
      <c r="N6" s="73" t="s">
        <v>95</v>
      </c>
      <c r="O6" s="73" t="s">
        <v>96</v>
      </c>
      <c r="P6" s="47">
        <v>3.0426500000000001</v>
      </c>
      <c r="R6" s="73" t="s">
        <v>44</v>
      </c>
      <c r="S6">
        <v>24</v>
      </c>
      <c r="U6" s="7"/>
      <c r="V6" s="13">
        <v>11</v>
      </c>
      <c r="W6" s="13">
        <v>172</v>
      </c>
      <c r="X6" s="40">
        <v>52.000000000000007</v>
      </c>
      <c r="Y6" s="4">
        <v>33.000000000000007</v>
      </c>
      <c r="Z6" s="4">
        <v>-4.9999999999999822</v>
      </c>
      <c r="AA6" s="4">
        <v>14</v>
      </c>
      <c r="AB6" s="4">
        <v>0</v>
      </c>
      <c r="AC6" s="13">
        <v>5</v>
      </c>
      <c r="AD6" s="15">
        <v>56.999999999999986</v>
      </c>
      <c r="AG6" s="18">
        <v>-20</v>
      </c>
      <c r="AH6" s="19">
        <v>10</v>
      </c>
      <c r="AI6" s="19">
        <v>225</v>
      </c>
      <c r="AJ6" s="20">
        <v>32.000000000000007</v>
      </c>
      <c r="AK6" s="19">
        <v>32.000000000000007</v>
      </c>
      <c r="AL6" s="19">
        <v>43.000000000000007</v>
      </c>
      <c r="AM6" s="19">
        <v>43.000000000000007</v>
      </c>
      <c r="AN6" s="19">
        <v>215</v>
      </c>
      <c r="AO6" s="19">
        <v>177.5</v>
      </c>
      <c r="AP6" s="19">
        <v>220</v>
      </c>
      <c r="AQ6" s="19">
        <v>407</v>
      </c>
      <c r="AR6" s="47">
        <v>-147.86750000000001</v>
      </c>
      <c r="AT6">
        <v>-210</v>
      </c>
      <c r="AU6">
        <v>-76</v>
      </c>
    </row>
    <row r="7" spans="1:48">
      <c r="A7" s="30">
        <v>45814</v>
      </c>
      <c r="B7" s="31">
        <v>45814</v>
      </c>
      <c r="C7" s="32" t="s">
        <v>81</v>
      </c>
      <c r="D7" s="33">
        <v>0</v>
      </c>
      <c r="E7" s="35">
        <v>2.0833333333333332E-2</v>
      </c>
      <c r="F7" s="34">
        <v>30</v>
      </c>
      <c r="G7" s="33">
        <v>0.16666666666666666</v>
      </c>
      <c r="H7" s="36">
        <v>210</v>
      </c>
      <c r="I7" s="37">
        <v>0.17847222222222223</v>
      </c>
      <c r="J7" s="4">
        <v>5</v>
      </c>
      <c r="K7" s="7"/>
      <c r="L7" s="2">
        <v>3.4027777777777775E-2</v>
      </c>
      <c r="M7" s="73" t="s">
        <v>97</v>
      </c>
      <c r="N7" s="73" t="s">
        <v>98</v>
      </c>
      <c r="O7" s="73" t="s">
        <v>99</v>
      </c>
      <c r="P7" s="47">
        <v>3.04135</v>
      </c>
      <c r="Q7" s="73" t="s">
        <v>44</v>
      </c>
      <c r="S7">
        <v>28</v>
      </c>
      <c r="U7" s="7"/>
      <c r="V7" s="13">
        <v>13.000000000000014</v>
      </c>
      <c r="W7" s="13">
        <v>190</v>
      </c>
      <c r="X7" s="40">
        <v>48.999999999999993</v>
      </c>
      <c r="Y7" s="4">
        <v>32.000000000000014</v>
      </c>
      <c r="Z7" s="4">
        <v>12.000000000000037</v>
      </c>
      <c r="AA7" s="4">
        <v>29</v>
      </c>
      <c r="AB7" s="4">
        <v>16.000000000000021</v>
      </c>
      <c r="AC7" s="13">
        <v>4</v>
      </c>
      <c r="AD7" s="15">
        <v>36.999999999999957</v>
      </c>
      <c r="AG7" s="18">
        <v>-20</v>
      </c>
      <c r="AH7" s="19">
        <v>10</v>
      </c>
      <c r="AI7" s="19">
        <v>225</v>
      </c>
      <c r="AJ7" s="20">
        <v>28.999999999999993</v>
      </c>
      <c r="AK7" s="19">
        <v>28.999999999999993</v>
      </c>
      <c r="AL7" s="19">
        <v>42.000000000000014</v>
      </c>
      <c r="AM7" s="19">
        <v>42.000000000000014</v>
      </c>
      <c r="AN7" s="19">
        <v>232</v>
      </c>
      <c r="AO7" s="19">
        <v>186</v>
      </c>
      <c r="AP7" s="19">
        <v>236</v>
      </c>
      <c r="AQ7" s="19">
        <v>386.99999999999994</v>
      </c>
      <c r="AR7" s="47">
        <v>-147.9325</v>
      </c>
      <c r="AS7">
        <v>-225</v>
      </c>
      <c r="AU7">
        <v>-72</v>
      </c>
    </row>
    <row r="8" spans="1:48">
      <c r="A8" s="30">
        <v>45815</v>
      </c>
      <c r="B8" s="31">
        <v>45815</v>
      </c>
      <c r="C8" s="32" t="s">
        <v>81</v>
      </c>
      <c r="D8" s="33">
        <v>0</v>
      </c>
      <c r="E8" s="35">
        <v>2.0833333333333332E-2</v>
      </c>
      <c r="F8" s="34">
        <v>30</v>
      </c>
      <c r="G8" s="33">
        <v>0.16666666666666666</v>
      </c>
      <c r="H8" s="36">
        <v>210</v>
      </c>
      <c r="I8" s="37">
        <v>0.17986111111111111</v>
      </c>
      <c r="J8" s="4">
        <v>5</v>
      </c>
      <c r="K8" s="7"/>
      <c r="L8" s="2">
        <v>2.2222222222222223E-2</v>
      </c>
      <c r="M8" s="73" t="s">
        <v>100</v>
      </c>
      <c r="N8" s="73" t="s">
        <v>93</v>
      </c>
      <c r="O8" s="73" t="s">
        <v>101</v>
      </c>
      <c r="P8" s="47">
        <v>3.0412499999999998</v>
      </c>
      <c r="Q8" s="73" t="s">
        <v>44</v>
      </c>
      <c r="S8">
        <v>24</v>
      </c>
      <c r="U8" s="7"/>
      <c r="V8" s="13">
        <v>27</v>
      </c>
      <c r="W8" s="13">
        <v>195.00000000000003</v>
      </c>
      <c r="X8" s="40">
        <v>32</v>
      </c>
      <c r="Y8" s="4">
        <v>29.000000000000004</v>
      </c>
      <c r="Z8" s="4">
        <v>14.00000000000003</v>
      </c>
      <c r="AA8" s="4">
        <v>17.000000000000028</v>
      </c>
      <c r="AB8" s="4">
        <v>18.000000000000014</v>
      </c>
      <c r="AC8" s="13">
        <v>4</v>
      </c>
      <c r="AD8" s="15">
        <v>17.999999999999972</v>
      </c>
      <c r="AG8" s="18">
        <v>-20</v>
      </c>
      <c r="AH8" s="19">
        <v>10</v>
      </c>
      <c r="AI8" s="19">
        <v>225</v>
      </c>
      <c r="AJ8" s="20">
        <v>12</v>
      </c>
      <c r="AK8" s="19">
        <v>12</v>
      </c>
      <c r="AL8" s="19">
        <v>39</v>
      </c>
      <c r="AM8" s="19">
        <v>39</v>
      </c>
      <c r="AN8" s="19">
        <v>234.00000000000003</v>
      </c>
      <c r="AO8" s="19">
        <v>187</v>
      </c>
      <c r="AP8" s="19">
        <v>238.00000000000003</v>
      </c>
      <c r="AQ8" s="19">
        <v>368</v>
      </c>
      <c r="AR8" s="47">
        <v>-147.9375</v>
      </c>
      <c r="AS8">
        <v>-225</v>
      </c>
      <c r="AU8">
        <v>-76</v>
      </c>
    </row>
    <row r="9" spans="1:48">
      <c r="A9" s="30">
        <v>45816</v>
      </c>
      <c r="B9" s="31">
        <v>45816</v>
      </c>
      <c r="C9" s="32" t="s">
        <v>81</v>
      </c>
      <c r="D9" s="33">
        <v>0</v>
      </c>
      <c r="E9" s="35">
        <v>2.0833333333333332E-2</v>
      </c>
      <c r="F9" s="34">
        <v>30</v>
      </c>
      <c r="G9" s="33">
        <v>0.16666666666666666</v>
      </c>
      <c r="H9" s="36">
        <v>210</v>
      </c>
      <c r="I9" s="37">
        <v>0.16874999999999998</v>
      </c>
      <c r="J9" s="4">
        <v>5</v>
      </c>
      <c r="K9" s="7"/>
      <c r="L9" s="2">
        <v>3.6805555555555557E-2</v>
      </c>
      <c r="M9" s="73" t="s">
        <v>102</v>
      </c>
      <c r="N9" s="73" t="s">
        <v>103</v>
      </c>
      <c r="O9" s="73" t="s">
        <v>104</v>
      </c>
      <c r="P9" s="47">
        <v>2.9868999999999999</v>
      </c>
      <c r="Q9" s="73" t="s">
        <v>44</v>
      </c>
      <c r="S9">
        <v>22</v>
      </c>
      <c r="U9" s="7"/>
      <c r="V9" s="13">
        <v>14.999999999999996</v>
      </c>
      <c r="W9" s="13">
        <v>170</v>
      </c>
      <c r="X9" s="40">
        <v>53</v>
      </c>
      <c r="Y9" s="4">
        <v>38</v>
      </c>
      <c r="Z9" s="4">
        <v>-1.9999999999999929</v>
      </c>
      <c r="AA9" s="4">
        <v>13</v>
      </c>
      <c r="AB9" s="4">
        <v>2.9999999999999893</v>
      </c>
      <c r="AC9" s="13">
        <v>5</v>
      </c>
      <c r="AD9" s="15">
        <v>54.999999999999993</v>
      </c>
      <c r="AG9" s="18">
        <v>-20</v>
      </c>
      <c r="AH9" s="19">
        <v>10</v>
      </c>
      <c r="AI9" s="19">
        <v>225</v>
      </c>
      <c r="AJ9" s="20">
        <v>33</v>
      </c>
      <c r="AK9" s="19">
        <v>33</v>
      </c>
      <c r="AL9" s="19">
        <v>48</v>
      </c>
      <c r="AM9" s="19">
        <v>48</v>
      </c>
      <c r="AN9" s="19">
        <v>218</v>
      </c>
      <c r="AO9" s="19">
        <v>179</v>
      </c>
      <c r="AP9" s="19">
        <v>223</v>
      </c>
      <c r="AQ9" s="19">
        <v>405</v>
      </c>
      <c r="AR9" s="47">
        <v>-150.655</v>
      </c>
      <c r="AS9">
        <v>-225</v>
      </c>
      <c r="AU9">
        <v>-78</v>
      </c>
    </row>
    <row r="10" spans="1:48">
      <c r="A10" s="30">
        <v>45817</v>
      </c>
      <c r="B10" s="31">
        <v>45817</v>
      </c>
      <c r="C10" s="32" t="s">
        <v>81</v>
      </c>
      <c r="D10" s="33">
        <v>0</v>
      </c>
      <c r="E10" s="35">
        <v>2.0833333333333332E-2</v>
      </c>
      <c r="F10" s="34">
        <v>30</v>
      </c>
      <c r="G10" s="33">
        <v>0.16666666666666666</v>
      </c>
      <c r="H10" s="36">
        <v>210</v>
      </c>
      <c r="I10" s="37">
        <v>0.1875</v>
      </c>
      <c r="J10" s="4">
        <v>5</v>
      </c>
      <c r="K10" s="7"/>
      <c r="L10" s="2">
        <v>5.347222222222222E-2</v>
      </c>
      <c r="M10" s="73" t="s">
        <v>105</v>
      </c>
      <c r="N10" s="73" t="s">
        <v>106</v>
      </c>
      <c r="O10" s="73" t="s">
        <v>107</v>
      </c>
      <c r="P10" s="47">
        <v>3.0476000000000001</v>
      </c>
      <c r="Q10" s="73" t="s">
        <v>44</v>
      </c>
      <c r="R10" s="73" t="s">
        <v>44</v>
      </c>
      <c r="S10">
        <v>16</v>
      </c>
      <c r="U10" s="7"/>
      <c r="V10" s="13">
        <v>9.0000000000000071</v>
      </c>
      <c r="W10" s="13">
        <v>179</v>
      </c>
      <c r="X10" s="40">
        <v>77</v>
      </c>
      <c r="Y10" s="4">
        <v>56</v>
      </c>
      <c r="Z10" s="4">
        <v>25.000000000000032</v>
      </c>
      <c r="AA10" s="4">
        <v>46</v>
      </c>
      <c r="AB10" s="4">
        <v>30.000000000000014</v>
      </c>
      <c r="AC10" s="13">
        <v>5</v>
      </c>
      <c r="AD10" s="15">
        <v>51.999999999999972</v>
      </c>
      <c r="AG10" s="18">
        <v>-20</v>
      </c>
      <c r="AH10" s="19">
        <v>10</v>
      </c>
      <c r="AI10" s="19">
        <v>225</v>
      </c>
      <c r="AJ10" s="20">
        <v>57</v>
      </c>
      <c r="AK10" s="19">
        <v>57</v>
      </c>
      <c r="AL10" s="19">
        <v>66</v>
      </c>
      <c r="AM10" s="19">
        <v>66</v>
      </c>
      <c r="AN10" s="19">
        <v>245</v>
      </c>
      <c r="AO10" s="19">
        <v>192.5</v>
      </c>
      <c r="AP10" s="19">
        <v>250</v>
      </c>
      <c r="AQ10" s="19">
        <v>402</v>
      </c>
      <c r="AR10" s="47">
        <v>-147.62</v>
      </c>
      <c r="AS10">
        <v>-225</v>
      </c>
      <c r="AT10">
        <v>-210</v>
      </c>
      <c r="AU10">
        <v>-84</v>
      </c>
    </row>
    <row r="11" spans="1:48">
      <c r="A11" s="30">
        <v>45818</v>
      </c>
      <c r="B11" s="31">
        <v>45818</v>
      </c>
      <c r="C11" s="32" t="s">
        <v>81</v>
      </c>
      <c r="D11" s="33">
        <v>0</v>
      </c>
      <c r="E11" s="35">
        <v>2.0833333333333332E-2</v>
      </c>
      <c r="F11" s="34">
        <v>30</v>
      </c>
      <c r="G11" s="33">
        <v>0.16666666666666666</v>
      </c>
      <c r="H11" s="36">
        <v>210</v>
      </c>
      <c r="I11" s="37">
        <v>0.16041666666666665</v>
      </c>
      <c r="J11" s="4">
        <v>5</v>
      </c>
      <c r="K11" s="7"/>
      <c r="L11" s="74">
        <v>1.8749999999999999E-2</v>
      </c>
      <c r="M11" s="73" t="s">
        <v>108</v>
      </c>
      <c r="N11" s="73" t="s">
        <v>109</v>
      </c>
      <c r="O11" s="73" t="s">
        <v>110</v>
      </c>
      <c r="P11" s="47">
        <v>3.03355</v>
      </c>
      <c r="S11">
        <v>24</v>
      </c>
      <c r="U11" s="7"/>
      <c r="V11" s="13">
        <v>33</v>
      </c>
      <c r="W11" s="13">
        <v>166</v>
      </c>
      <c r="X11" s="40">
        <v>27</v>
      </c>
      <c r="Y11" s="4">
        <v>30</v>
      </c>
      <c r="Z11" s="4">
        <v>-13.999999999999989</v>
      </c>
      <c r="AA11" s="4">
        <v>-17</v>
      </c>
      <c r="AB11" s="4">
        <v>-9.9999999999999645</v>
      </c>
      <c r="AC11" s="13">
        <v>4</v>
      </c>
      <c r="AD11" s="15">
        <v>40.999999999999986</v>
      </c>
      <c r="AG11" s="18">
        <v>-20</v>
      </c>
      <c r="AH11" s="19">
        <v>10</v>
      </c>
      <c r="AI11" s="19">
        <v>225</v>
      </c>
      <c r="AJ11" s="20">
        <v>7</v>
      </c>
      <c r="AK11" s="19">
        <v>7</v>
      </c>
      <c r="AL11" s="19">
        <v>40</v>
      </c>
      <c r="AM11" s="19">
        <v>40</v>
      </c>
      <c r="AN11" s="19">
        <v>206</v>
      </c>
      <c r="AO11" s="19">
        <v>173</v>
      </c>
      <c r="AP11" s="19">
        <v>210</v>
      </c>
      <c r="AQ11" s="19">
        <v>391</v>
      </c>
      <c r="AR11" s="47">
        <v>-148.32249999999999</v>
      </c>
      <c r="AU11">
        <v>-76</v>
      </c>
    </row>
    <row r="12" spans="1:48">
      <c r="A12" s="30">
        <v>45819</v>
      </c>
      <c r="B12" s="31">
        <v>45819</v>
      </c>
      <c r="C12" s="32" t="s">
        <v>81</v>
      </c>
      <c r="D12" s="33">
        <v>0</v>
      </c>
      <c r="E12" s="35">
        <v>2.0833333333333332E-2</v>
      </c>
      <c r="F12" s="34">
        <v>30</v>
      </c>
      <c r="G12" s="33">
        <v>0.16666666666666666</v>
      </c>
      <c r="H12" s="36">
        <v>210</v>
      </c>
      <c r="I12" s="37">
        <v>0.16041666666666665</v>
      </c>
      <c r="J12" s="4">
        <v>5</v>
      </c>
      <c r="K12" s="7"/>
      <c r="L12" s="2">
        <v>3.125E-2</v>
      </c>
      <c r="M12" s="73" t="s">
        <v>108</v>
      </c>
      <c r="N12" s="73" t="s">
        <v>109</v>
      </c>
      <c r="O12" s="73" t="s">
        <v>110</v>
      </c>
      <c r="P12" s="47">
        <v>3.0462500000000001</v>
      </c>
      <c r="R12" s="73" t="s">
        <v>44</v>
      </c>
      <c r="S12">
        <v>28</v>
      </c>
      <c r="U12" s="7"/>
      <c r="V12" s="13">
        <v>14.999999999999996</v>
      </c>
      <c r="W12" s="13">
        <v>166</v>
      </c>
      <c r="X12" s="40">
        <v>45</v>
      </c>
      <c r="Y12" s="4">
        <v>30</v>
      </c>
      <c r="Z12" s="4">
        <v>-13.999999999999989</v>
      </c>
      <c r="AA12" s="4">
        <v>1</v>
      </c>
      <c r="AB12" s="4">
        <v>-9.9999999999999645</v>
      </c>
      <c r="AC12" s="13">
        <v>4</v>
      </c>
      <c r="AD12" s="15">
        <v>58.999999999999986</v>
      </c>
      <c r="AG12" s="18">
        <v>-20</v>
      </c>
      <c r="AH12" s="19">
        <v>10</v>
      </c>
      <c r="AI12" s="19">
        <v>225</v>
      </c>
      <c r="AJ12" s="20">
        <v>25</v>
      </c>
      <c r="AK12" s="19">
        <v>25</v>
      </c>
      <c r="AL12" s="19">
        <v>40</v>
      </c>
      <c r="AM12" s="19">
        <v>40</v>
      </c>
      <c r="AN12" s="19">
        <v>206</v>
      </c>
      <c r="AO12" s="19">
        <v>173</v>
      </c>
      <c r="AP12" s="19">
        <v>210</v>
      </c>
      <c r="AQ12" s="19">
        <v>409</v>
      </c>
      <c r="AR12" s="47">
        <v>-147.6875</v>
      </c>
      <c r="AT12">
        <v>-210</v>
      </c>
      <c r="AU12">
        <v>-72</v>
      </c>
    </row>
    <row r="13" spans="1:48">
      <c r="A13" s="30">
        <v>45820</v>
      </c>
      <c r="B13" s="31">
        <v>45820</v>
      </c>
      <c r="C13" s="32" t="s">
        <v>81</v>
      </c>
      <c r="D13" s="33">
        <v>0</v>
      </c>
      <c r="E13" s="35">
        <v>2.0833333333333332E-2</v>
      </c>
      <c r="F13" s="34">
        <v>30</v>
      </c>
      <c r="G13" s="33">
        <v>0.16666666666666666</v>
      </c>
      <c r="H13" s="36">
        <v>210</v>
      </c>
      <c r="I13" s="37">
        <v>0.1361111111111111</v>
      </c>
      <c r="J13" s="4">
        <v>5</v>
      </c>
      <c r="K13" s="7"/>
      <c r="L13" s="2">
        <v>1.4583333333333332E-2</v>
      </c>
      <c r="M13" s="73" t="s">
        <v>111</v>
      </c>
      <c r="N13" s="73" t="s">
        <v>112</v>
      </c>
      <c r="O13" s="73" t="s">
        <v>113</v>
      </c>
      <c r="P13" s="47">
        <v>3.04535</v>
      </c>
      <c r="R13" s="73" t="s">
        <v>44</v>
      </c>
      <c r="S13">
        <v>28</v>
      </c>
      <c r="U13" s="7"/>
      <c r="V13" s="13">
        <v>13.000000000000002</v>
      </c>
      <c r="W13" s="13">
        <v>157</v>
      </c>
      <c r="X13" s="40">
        <v>20.999999999999996</v>
      </c>
      <c r="Y13" s="4">
        <v>4.0000000000000009</v>
      </c>
      <c r="Z13" s="4">
        <v>-48.999999999999986</v>
      </c>
      <c r="AA13" s="4">
        <v>-32</v>
      </c>
      <c r="AB13" s="4">
        <v>-45</v>
      </c>
      <c r="AC13" s="13">
        <v>4</v>
      </c>
      <c r="AD13" s="15">
        <v>69.999999999999986</v>
      </c>
      <c r="AG13" s="18">
        <v>-20</v>
      </c>
      <c r="AH13" s="19">
        <v>10</v>
      </c>
      <c r="AI13" s="19">
        <v>225</v>
      </c>
      <c r="AJ13" s="20">
        <v>0.99999999999999645</v>
      </c>
      <c r="AK13" s="19">
        <v>0.99999999999999645</v>
      </c>
      <c r="AL13" s="19">
        <v>14</v>
      </c>
      <c r="AM13" s="19">
        <v>14</v>
      </c>
      <c r="AN13" s="19">
        <v>171</v>
      </c>
      <c r="AO13" s="19">
        <v>155.5</v>
      </c>
      <c r="AP13" s="19">
        <v>175</v>
      </c>
      <c r="AQ13" s="19">
        <v>420</v>
      </c>
      <c r="AR13" s="47">
        <v>-147.73249999999999</v>
      </c>
      <c r="AT13">
        <v>-210</v>
      </c>
      <c r="AU13">
        <v>-72</v>
      </c>
    </row>
    <row r="14" spans="1:48">
      <c r="A14" s="30">
        <v>45821</v>
      </c>
      <c r="B14" s="31">
        <v>45821</v>
      </c>
      <c r="C14" s="32" t="s">
        <v>81</v>
      </c>
      <c r="D14" s="33">
        <v>0</v>
      </c>
      <c r="E14" s="35">
        <v>2.0833333333333332E-2</v>
      </c>
      <c r="F14" s="34">
        <v>30</v>
      </c>
      <c r="G14" s="33">
        <v>0.16666666666666666</v>
      </c>
      <c r="H14" s="36">
        <v>210</v>
      </c>
      <c r="I14" s="37">
        <v>0.17569444444444446</v>
      </c>
      <c r="J14" s="4">
        <v>5</v>
      </c>
      <c r="K14" s="7"/>
      <c r="L14" s="2">
        <v>6.1805555555555558E-2</v>
      </c>
      <c r="M14" s="73" t="s">
        <v>114</v>
      </c>
      <c r="N14" s="73" t="s">
        <v>115</v>
      </c>
      <c r="O14" s="73" t="s">
        <v>116</v>
      </c>
      <c r="P14" s="47">
        <v>3.0452499999999998</v>
      </c>
      <c r="Q14" s="73" t="s">
        <v>44</v>
      </c>
      <c r="S14">
        <v>24</v>
      </c>
      <c r="U14" s="7"/>
      <c r="V14" s="13">
        <v>11.999999999999996</v>
      </c>
      <c r="W14" s="13">
        <v>147.00000000000003</v>
      </c>
      <c r="X14" s="40">
        <v>89</v>
      </c>
      <c r="Y14" s="4">
        <v>71.000000000000014</v>
      </c>
      <c r="Z14" s="4">
        <v>8.0000000000000515</v>
      </c>
      <c r="AA14" s="4">
        <v>26.000000000000028</v>
      </c>
      <c r="AB14" s="4">
        <v>13.000000000000034</v>
      </c>
      <c r="AC14" s="13">
        <v>5</v>
      </c>
      <c r="AD14" s="15">
        <v>80.999999999999943</v>
      </c>
      <c r="AG14" s="18">
        <v>-20</v>
      </c>
      <c r="AH14" s="19">
        <v>10</v>
      </c>
      <c r="AI14" s="19">
        <v>225</v>
      </c>
      <c r="AJ14" s="20">
        <v>69</v>
      </c>
      <c r="AK14" s="19">
        <v>69</v>
      </c>
      <c r="AL14" s="19">
        <v>81.000000000000014</v>
      </c>
      <c r="AM14" s="19">
        <v>81.000000000000014</v>
      </c>
      <c r="AN14" s="19">
        <v>228.00000000000006</v>
      </c>
      <c r="AO14" s="19">
        <v>184.00000000000003</v>
      </c>
      <c r="AP14" s="19">
        <v>233.00000000000006</v>
      </c>
      <c r="AQ14" s="19">
        <v>430.99999999999994</v>
      </c>
      <c r="AR14" s="47">
        <v>-147.73750000000001</v>
      </c>
      <c r="AS14">
        <v>-225</v>
      </c>
      <c r="AU14">
        <v>-76</v>
      </c>
    </row>
    <row r="15" spans="1:48">
      <c r="A15" s="30">
        <v>45822</v>
      </c>
      <c r="B15" s="31">
        <v>45822</v>
      </c>
      <c r="C15" s="32" t="s">
        <v>81</v>
      </c>
      <c r="D15" s="33">
        <v>0</v>
      </c>
      <c r="E15" s="35">
        <v>2.0833333333333332E-2</v>
      </c>
      <c r="F15" s="34">
        <v>30</v>
      </c>
      <c r="G15" s="33">
        <v>0.16666666666666666</v>
      </c>
      <c r="H15" s="36">
        <v>210</v>
      </c>
      <c r="I15" s="37">
        <v>0.16944444444444443</v>
      </c>
      <c r="J15" s="4">
        <v>5</v>
      </c>
      <c r="K15" s="7"/>
      <c r="L15" s="2">
        <v>3.7499999999999999E-2</v>
      </c>
      <c r="M15" s="73" t="s">
        <v>117</v>
      </c>
      <c r="N15" s="73" t="s">
        <v>118</v>
      </c>
      <c r="O15" s="73" t="s">
        <v>119</v>
      </c>
      <c r="P15" s="47">
        <v>3.0543499999999999</v>
      </c>
      <c r="Q15" s="73" t="s">
        <v>44</v>
      </c>
      <c r="S15">
        <v>28</v>
      </c>
      <c r="U15" s="7"/>
      <c r="V15" s="13">
        <v>11</v>
      </c>
      <c r="W15" s="13">
        <v>173.99999999999997</v>
      </c>
      <c r="X15" s="40">
        <v>54</v>
      </c>
      <c r="Y15" s="4">
        <v>35</v>
      </c>
      <c r="Z15" s="4">
        <v>-0.99999999999999645</v>
      </c>
      <c r="AA15" s="4">
        <v>17.999999999999972</v>
      </c>
      <c r="AB15" s="4">
        <v>3.9999999999999858</v>
      </c>
      <c r="AC15" s="13">
        <v>5</v>
      </c>
      <c r="AD15" s="15">
        <v>55</v>
      </c>
      <c r="AG15" s="18">
        <v>-20</v>
      </c>
      <c r="AH15" s="19">
        <v>10</v>
      </c>
      <c r="AI15" s="19">
        <v>225</v>
      </c>
      <c r="AJ15" s="20">
        <v>34</v>
      </c>
      <c r="AK15" s="19">
        <v>34</v>
      </c>
      <c r="AL15" s="19">
        <v>45</v>
      </c>
      <c r="AM15" s="19">
        <v>45</v>
      </c>
      <c r="AN15" s="19">
        <v>218.99999999999997</v>
      </c>
      <c r="AO15" s="19">
        <v>179.5</v>
      </c>
      <c r="AP15" s="19">
        <v>223.99999999999997</v>
      </c>
      <c r="AQ15" s="19">
        <v>405</v>
      </c>
      <c r="AR15" s="47">
        <v>-147.2825</v>
      </c>
      <c r="AS15">
        <v>-225</v>
      </c>
      <c r="AU15">
        <v>-72</v>
      </c>
    </row>
    <row r="16" spans="1:48">
      <c r="A16" s="30">
        <v>45823</v>
      </c>
      <c r="B16" s="31">
        <v>45823</v>
      </c>
      <c r="C16" s="32" t="s">
        <v>81</v>
      </c>
      <c r="D16" s="33">
        <v>0</v>
      </c>
      <c r="E16" s="35">
        <v>2.0833333333333332E-2</v>
      </c>
      <c r="F16" s="34">
        <v>30</v>
      </c>
      <c r="G16" s="33">
        <v>0.16666666666666666</v>
      </c>
      <c r="H16" s="36">
        <v>210</v>
      </c>
      <c r="I16" s="37">
        <v>0.17361111111111108</v>
      </c>
      <c r="J16" s="4">
        <v>5</v>
      </c>
      <c r="K16" s="7"/>
      <c r="L16" s="2">
        <v>3.0555555555555555E-2</v>
      </c>
      <c r="M16" s="73" t="s">
        <v>120</v>
      </c>
      <c r="N16" s="73" t="s">
        <v>121</v>
      </c>
      <c r="O16" s="73" t="s">
        <v>122</v>
      </c>
      <c r="P16" s="47">
        <v>3.0169999999999999</v>
      </c>
      <c r="Q16" s="73" t="s">
        <v>44</v>
      </c>
      <c r="S16">
        <v>22</v>
      </c>
      <c r="U16" s="7"/>
      <c r="V16" s="13">
        <v>14.000000000000005</v>
      </c>
      <c r="W16" s="13">
        <v>186.99999999999997</v>
      </c>
      <c r="X16" s="40">
        <v>44</v>
      </c>
      <c r="Y16" s="4">
        <v>28.000000000000007</v>
      </c>
      <c r="Z16" s="4">
        <v>4.9999999999999822</v>
      </c>
      <c r="AA16" s="4">
        <v>20.999999999999972</v>
      </c>
      <c r="AB16" s="4">
        <v>10.000000000000044</v>
      </c>
      <c r="AC16" s="13">
        <v>5</v>
      </c>
      <c r="AD16" s="15">
        <v>39.000000000000014</v>
      </c>
      <c r="AG16" s="18">
        <v>-20</v>
      </c>
      <c r="AH16" s="19">
        <v>10</v>
      </c>
      <c r="AI16" s="19">
        <v>225</v>
      </c>
      <c r="AJ16" s="20">
        <v>24</v>
      </c>
      <c r="AK16" s="19">
        <v>24</v>
      </c>
      <c r="AL16" s="19">
        <v>38.000000000000007</v>
      </c>
      <c r="AM16" s="19">
        <v>38.000000000000007</v>
      </c>
      <c r="AN16" s="19">
        <v>224.99999999999997</v>
      </c>
      <c r="AO16" s="19">
        <v>182.5</v>
      </c>
      <c r="AP16" s="19">
        <v>229.99999999999997</v>
      </c>
      <c r="AQ16" s="19">
        <v>389</v>
      </c>
      <c r="AR16" s="47">
        <v>-149.15</v>
      </c>
      <c r="AS16">
        <v>-225</v>
      </c>
      <c r="AU16">
        <v>-78</v>
      </c>
    </row>
    <row r="17" spans="1:47">
      <c r="A17" s="30">
        <v>45824</v>
      </c>
      <c r="B17" s="31">
        <v>45824</v>
      </c>
      <c r="C17" s="32" t="s">
        <v>81</v>
      </c>
      <c r="D17" s="33">
        <v>0</v>
      </c>
      <c r="E17" s="35">
        <v>2.0833333333333332E-2</v>
      </c>
      <c r="F17" s="34">
        <v>30</v>
      </c>
      <c r="G17" s="33">
        <v>0.16666666666666666</v>
      </c>
      <c r="H17" s="36">
        <v>210</v>
      </c>
      <c r="I17" s="37">
        <v>0.16180555555555554</v>
      </c>
      <c r="J17" s="4">
        <v>5</v>
      </c>
      <c r="K17" s="7"/>
      <c r="L17" s="2">
        <v>2.7777777777777776E-2</v>
      </c>
      <c r="M17" s="73" t="s">
        <v>123</v>
      </c>
      <c r="N17" s="73" t="s">
        <v>124</v>
      </c>
      <c r="O17" s="73" t="s">
        <v>125</v>
      </c>
      <c r="P17" s="47">
        <v>3.0388500000000001</v>
      </c>
      <c r="Q17" s="73" t="s">
        <v>44</v>
      </c>
      <c r="S17">
        <v>18</v>
      </c>
      <c r="U17" s="7"/>
      <c r="V17" s="13">
        <v>12.000000000000007</v>
      </c>
      <c r="W17" s="13">
        <v>175.99999999999997</v>
      </c>
      <c r="X17" s="40">
        <v>40</v>
      </c>
      <c r="Y17" s="4">
        <v>22.000000000000007</v>
      </c>
      <c r="Z17" s="4">
        <v>-11.999999999999996</v>
      </c>
      <c r="AA17" s="4">
        <v>5.9999999999999716</v>
      </c>
      <c r="AB17" s="4">
        <v>-6.9999999999999751</v>
      </c>
      <c r="AC17" s="13">
        <v>5</v>
      </c>
      <c r="AD17" s="15">
        <v>52</v>
      </c>
      <c r="AG17" s="18">
        <v>-20</v>
      </c>
      <c r="AH17" s="19">
        <v>10</v>
      </c>
      <c r="AI17" s="19">
        <v>225</v>
      </c>
      <c r="AJ17" s="20">
        <v>20</v>
      </c>
      <c r="AK17" s="19">
        <v>20</v>
      </c>
      <c r="AL17" s="19">
        <v>32.000000000000007</v>
      </c>
      <c r="AM17" s="19">
        <v>32.000000000000007</v>
      </c>
      <c r="AN17" s="19">
        <v>207.99999999999997</v>
      </c>
      <c r="AO17" s="19">
        <v>174</v>
      </c>
      <c r="AP17" s="19">
        <v>212.99999999999997</v>
      </c>
      <c r="AQ17" s="19">
        <v>402</v>
      </c>
      <c r="AR17" s="47">
        <v>-148.0575</v>
      </c>
      <c r="AS17">
        <v>-225</v>
      </c>
      <c r="AU17">
        <v>-82</v>
      </c>
    </row>
    <row r="18" spans="1:47">
      <c r="A18" s="30">
        <v>45825</v>
      </c>
      <c r="B18" s="31">
        <v>45825</v>
      </c>
      <c r="C18" s="32" t="s">
        <v>81</v>
      </c>
      <c r="D18" s="33">
        <v>0</v>
      </c>
      <c r="E18" s="35">
        <v>2.0833333333333332E-2</v>
      </c>
      <c r="F18" s="34">
        <v>30</v>
      </c>
      <c r="G18" s="33">
        <v>0.16666666666666666</v>
      </c>
      <c r="H18" s="36">
        <v>210</v>
      </c>
      <c r="I18" s="37">
        <v>0.13541666666666666</v>
      </c>
      <c r="J18" s="4">
        <v>5</v>
      </c>
      <c r="K18" s="7"/>
      <c r="L18" s="2">
        <v>1.1805555555555555E-2</v>
      </c>
      <c r="M18" s="73" t="s">
        <v>88</v>
      </c>
      <c r="N18" s="73" t="s">
        <v>89</v>
      </c>
      <c r="O18" s="73" t="s">
        <v>113</v>
      </c>
      <c r="P18" s="47">
        <v>3.0246499999999998</v>
      </c>
      <c r="S18">
        <v>22</v>
      </c>
      <c r="U18" s="7"/>
      <c r="V18" s="13">
        <v>27</v>
      </c>
      <c r="W18" s="13">
        <v>146</v>
      </c>
      <c r="X18" s="40">
        <v>17</v>
      </c>
      <c r="Y18" s="4">
        <v>14</v>
      </c>
      <c r="Z18" s="4">
        <v>-49.999999999999986</v>
      </c>
      <c r="AA18" s="4">
        <v>-47</v>
      </c>
      <c r="AB18" s="4">
        <v>-45</v>
      </c>
      <c r="AC18" s="13">
        <v>5</v>
      </c>
      <c r="AD18" s="15">
        <v>66.999999999999986</v>
      </c>
      <c r="AG18" s="18">
        <v>-20</v>
      </c>
      <c r="AH18" s="19">
        <v>10</v>
      </c>
      <c r="AI18" s="19">
        <v>225</v>
      </c>
      <c r="AJ18" s="20">
        <v>-3</v>
      </c>
      <c r="AK18" s="19">
        <v>-3</v>
      </c>
      <c r="AL18" s="19">
        <v>24</v>
      </c>
      <c r="AM18" s="19">
        <v>24</v>
      </c>
      <c r="AN18" s="19">
        <v>170</v>
      </c>
      <c r="AO18" s="19">
        <v>155</v>
      </c>
      <c r="AP18" s="19">
        <v>175</v>
      </c>
      <c r="AQ18" s="19">
        <v>417</v>
      </c>
      <c r="AR18" s="47">
        <v>-148.76750000000001</v>
      </c>
      <c r="AU18">
        <v>-78</v>
      </c>
    </row>
    <row r="19" spans="1:47">
      <c r="A19" s="30">
        <v>45826</v>
      </c>
      <c r="B19" s="31">
        <v>45826</v>
      </c>
      <c r="C19" s="32" t="s">
        <v>81</v>
      </c>
      <c r="D19" s="33">
        <v>0</v>
      </c>
      <c r="E19" s="35">
        <v>2.0833333333333332E-2</v>
      </c>
      <c r="F19" s="34">
        <v>30</v>
      </c>
      <c r="G19" s="33">
        <v>0.16666666666666666</v>
      </c>
      <c r="H19" s="36">
        <v>210</v>
      </c>
      <c r="I19" s="37">
        <v>0.14930555555555555</v>
      </c>
      <c r="J19" s="4">
        <v>5</v>
      </c>
      <c r="K19" s="7"/>
      <c r="L19" s="2">
        <v>1.3888888888888889E-3</v>
      </c>
      <c r="M19" s="73" t="s">
        <v>126</v>
      </c>
      <c r="N19" s="73" t="s">
        <v>127</v>
      </c>
      <c r="O19" s="73" t="s">
        <v>128</v>
      </c>
      <c r="P19" s="47">
        <v>3.03735</v>
      </c>
      <c r="Q19" s="73" t="s">
        <v>44</v>
      </c>
      <c r="R19" s="73" t="s">
        <v>44</v>
      </c>
      <c r="S19">
        <v>26</v>
      </c>
      <c r="U19" s="7"/>
      <c r="V19" s="13">
        <v>23.000000000000004</v>
      </c>
      <c r="W19" s="13">
        <v>185.00000000000003</v>
      </c>
      <c r="X19" s="40">
        <v>2</v>
      </c>
      <c r="Y19" s="4">
        <v>-4.9999999999999973</v>
      </c>
      <c r="Z19" s="4">
        <v>-29.999999999999972</v>
      </c>
      <c r="AA19" s="4">
        <v>-22.999999999999972</v>
      </c>
      <c r="AB19" s="4">
        <v>-24.999999999999993</v>
      </c>
      <c r="AC19" s="13">
        <v>5</v>
      </c>
      <c r="AD19" s="15">
        <v>31.999999999999972</v>
      </c>
      <c r="AG19" s="18">
        <v>-20</v>
      </c>
      <c r="AH19" s="19">
        <v>10</v>
      </c>
      <c r="AI19" s="19">
        <v>225</v>
      </c>
      <c r="AJ19" s="20">
        <v>-18</v>
      </c>
      <c r="AK19" s="19">
        <v>-18</v>
      </c>
      <c r="AL19" s="19">
        <v>5.0000000000000027</v>
      </c>
      <c r="AM19" s="19">
        <v>5.0000000000000027</v>
      </c>
      <c r="AN19" s="19">
        <v>190.00000000000003</v>
      </c>
      <c r="AO19" s="19">
        <v>165</v>
      </c>
      <c r="AP19" s="19">
        <v>195.00000000000003</v>
      </c>
      <c r="AQ19" s="19">
        <v>382</v>
      </c>
      <c r="AR19" s="47">
        <v>-148.13249999999999</v>
      </c>
      <c r="AS19">
        <v>-225</v>
      </c>
      <c r="AT19">
        <v>-210</v>
      </c>
      <c r="AU19">
        <v>-74</v>
      </c>
    </row>
    <row r="20" spans="1:47">
      <c r="A20" s="30">
        <v>45827</v>
      </c>
      <c r="B20" s="31">
        <v>45827</v>
      </c>
      <c r="C20" s="32" t="s">
        <v>81</v>
      </c>
      <c r="D20" s="33">
        <v>0</v>
      </c>
      <c r="E20" s="35">
        <v>2.0833333333333332E-2</v>
      </c>
      <c r="F20" s="34">
        <v>30</v>
      </c>
      <c r="G20" s="33">
        <v>0.16666666666666666</v>
      </c>
      <c r="H20" s="36">
        <v>210</v>
      </c>
      <c r="I20" s="37">
        <v>0.14097222222222219</v>
      </c>
      <c r="J20" s="4">
        <v>5</v>
      </c>
      <c r="K20" s="7"/>
      <c r="L20" s="2">
        <v>1.5277777777777777E-2</v>
      </c>
      <c r="M20" s="73" t="s">
        <v>129</v>
      </c>
      <c r="N20" s="73" t="s">
        <v>130</v>
      </c>
      <c r="O20" s="73" t="s">
        <v>86</v>
      </c>
      <c r="P20" s="47">
        <v>3.0467</v>
      </c>
      <c r="R20" s="73" t="s">
        <v>44</v>
      </c>
      <c r="S20">
        <v>22</v>
      </c>
      <c r="U20" s="7"/>
      <c r="V20" s="13">
        <v>17.000000000000004</v>
      </c>
      <c r="W20" s="13">
        <v>158.99999999999997</v>
      </c>
      <c r="X20" s="40">
        <v>22</v>
      </c>
      <c r="Y20" s="4">
        <v>9.0000000000000036</v>
      </c>
      <c r="Z20" s="4">
        <v>-42.000000000000014</v>
      </c>
      <c r="AA20" s="4">
        <v>-29.000000000000028</v>
      </c>
      <c r="AB20" s="4">
        <v>-36.999999999999986</v>
      </c>
      <c r="AC20" s="13">
        <v>5</v>
      </c>
      <c r="AD20" s="15">
        <v>64.000000000000014</v>
      </c>
      <c r="AG20" s="18">
        <v>-20</v>
      </c>
      <c r="AH20" s="19">
        <v>10</v>
      </c>
      <c r="AI20" s="19">
        <v>225</v>
      </c>
      <c r="AJ20" s="20">
        <v>2</v>
      </c>
      <c r="AK20" s="19">
        <v>2</v>
      </c>
      <c r="AL20" s="19">
        <v>19.000000000000004</v>
      </c>
      <c r="AM20" s="19">
        <v>19.000000000000004</v>
      </c>
      <c r="AN20" s="19">
        <v>177.99999999999997</v>
      </c>
      <c r="AO20" s="19">
        <v>159</v>
      </c>
      <c r="AP20" s="19">
        <v>182.99999999999997</v>
      </c>
      <c r="AQ20" s="19">
        <v>414</v>
      </c>
      <c r="AR20" s="47">
        <v>-147.66499999999999</v>
      </c>
      <c r="AT20">
        <v>-210</v>
      </c>
      <c r="AU20">
        <v>-78</v>
      </c>
    </row>
    <row r="21" spans="1:47">
      <c r="A21" s="30">
        <v>45828</v>
      </c>
      <c r="B21" s="31">
        <v>45828</v>
      </c>
      <c r="C21" s="32" t="s">
        <v>81</v>
      </c>
      <c r="D21" s="33">
        <v>0</v>
      </c>
      <c r="E21" s="35">
        <v>2.0833333333333332E-2</v>
      </c>
      <c r="F21" s="34">
        <v>30</v>
      </c>
      <c r="G21" s="33">
        <v>0.16666666666666666</v>
      </c>
      <c r="H21" s="36">
        <v>210</v>
      </c>
      <c r="I21" s="37">
        <v>0.14722222222222223</v>
      </c>
      <c r="J21" s="4">
        <v>5</v>
      </c>
      <c r="K21" s="7"/>
      <c r="L21" s="2">
        <v>1.3194444444444444E-2</v>
      </c>
      <c r="M21" s="73" t="s">
        <v>131</v>
      </c>
      <c r="N21" s="73" t="s">
        <v>87</v>
      </c>
      <c r="O21" s="75">
        <v>0.14722222222222223</v>
      </c>
      <c r="P21" s="47">
        <v>3.04725</v>
      </c>
      <c r="R21" t="s">
        <v>44</v>
      </c>
      <c r="S21">
        <v>26</v>
      </c>
      <c r="U21" s="7"/>
      <c r="V21" s="13">
        <v>16</v>
      </c>
      <c r="W21" s="13">
        <v>172.00000000000003</v>
      </c>
      <c r="X21" s="40">
        <v>19</v>
      </c>
      <c r="Y21" s="4">
        <v>5.0000000000000018</v>
      </c>
      <c r="Z21" s="4">
        <v>-32.999999999999964</v>
      </c>
      <c r="AA21" s="4">
        <v>-18.999999999999972</v>
      </c>
      <c r="AB21" s="4">
        <v>-27.999999999999979</v>
      </c>
      <c r="AC21" s="13">
        <v>5</v>
      </c>
      <c r="AD21" s="15">
        <v>51.999999999999964</v>
      </c>
      <c r="AG21" s="18">
        <v>-20</v>
      </c>
      <c r="AH21" s="19">
        <v>10</v>
      </c>
      <c r="AI21" s="19">
        <v>225</v>
      </c>
      <c r="AJ21" s="20">
        <v>-1</v>
      </c>
      <c r="AK21" s="19">
        <v>-1</v>
      </c>
      <c r="AL21" s="19">
        <v>15.000000000000002</v>
      </c>
      <c r="AM21" s="19">
        <v>15.000000000000002</v>
      </c>
      <c r="AN21" s="19">
        <v>187.00000000000003</v>
      </c>
      <c r="AO21" s="19">
        <v>163.5</v>
      </c>
      <c r="AP21" s="19">
        <v>192.00000000000003</v>
      </c>
      <c r="AQ21" s="19">
        <v>401.99999999999994</v>
      </c>
      <c r="AR21" s="47">
        <v>-147.63749999999999</v>
      </c>
      <c r="AT21">
        <v>-210</v>
      </c>
      <c r="AU21">
        <v>-74</v>
      </c>
    </row>
    <row r="22" spans="1:47">
      <c r="A22" s="30">
        <v>45829</v>
      </c>
      <c r="B22" s="31">
        <v>45829</v>
      </c>
      <c r="C22" s="32" t="s">
        <v>81</v>
      </c>
      <c r="D22" s="33">
        <v>0</v>
      </c>
      <c r="E22" s="35">
        <v>2.0833333333333332E-2</v>
      </c>
      <c r="F22" s="34">
        <v>30</v>
      </c>
      <c r="G22" s="33">
        <v>0.16666666666666666</v>
      </c>
      <c r="H22" s="36">
        <v>210</v>
      </c>
      <c r="I22" s="37">
        <v>0.18194444444444444</v>
      </c>
      <c r="J22" s="4">
        <v>5</v>
      </c>
      <c r="K22" s="7"/>
      <c r="L22" s="2">
        <v>3.0555555555555555E-2</v>
      </c>
      <c r="M22" s="73" t="s">
        <v>123</v>
      </c>
      <c r="N22" s="73" t="s">
        <v>132</v>
      </c>
      <c r="O22" s="73" t="s">
        <v>133</v>
      </c>
      <c r="P22" s="47">
        <v>3.0614499999999998</v>
      </c>
      <c r="Q22" s="73" t="s">
        <v>44</v>
      </c>
      <c r="S22">
        <v>30</v>
      </c>
      <c r="U22" s="7"/>
      <c r="V22" s="13">
        <v>8.0000000000000071</v>
      </c>
      <c r="W22" s="13">
        <v>205</v>
      </c>
      <c r="X22" s="40">
        <v>44</v>
      </c>
      <c r="Y22" s="4">
        <v>22.000000000000007</v>
      </c>
      <c r="Z22" s="4">
        <v>17.000000000000021</v>
      </c>
      <c r="AA22" s="4">
        <v>39</v>
      </c>
      <c r="AB22" s="4">
        <v>21.000000000000007</v>
      </c>
      <c r="AC22" s="13">
        <v>4</v>
      </c>
      <c r="AD22" s="15">
        <v>26.999999999999979</v>
      </c>
      <c r="AG22" s="18">
        <v>-20</v>
      </c>
      <c r="AH22" s="19">
        <v>10</v>
      </c>
      <c r="AI22" s="19">
        <v>225</v>
      </c>
      <c r="AJ22" s="20">
        <v>24</v>
      </c>
      <c r="AK22" s="19">
        <v>24</v>
      </c>
      <c r="AL22" s="19">
        <v>32.000000000000007</v>
      </c>
      <c r="AM22" s="19">
        <v>32.000000000000007</v>
      </c>
      <c r="AN22" s="19">
        <v>237</v>
      </c>
      <c r="AO22" s="19">
        <v>188.5</v>
      </c>
      <c r="AP22" s="19">
        <v>241</v>
      </c>
      <c r="AQ22" s="19">
        <v>377</v>
      </c>
      <c r="AR22" s="47">
        <v>-146.92750000000001</v>
      </c>
      <c r="AS22">
        <v>-225</v>
      </c>
      <c r="AU22">
        <v>-70</v>
      </c>
    </row>
    <row r="23" spans="1:47">
      <c r="A23" s="30">
        <v>45830</v>
      </c>
      <c r="B23" s="31">
        <v>45830</v>
      </c>
      <c r="C23" s="32" t="s">
        <v>81</v>
      </c>
      <c r="D23" s="33">
        <v>0</v>
      </c>
      <c r="E23" s="35">
        <v>2.0833333333333332E-2</v>
      </c>
      <c r="F23" s="34">
        <v>30</v>
      </c>
      <c r="G23" s="33">
        <v>0.16666666666666666</v>
      </c>
      <c r="H23" s="36">
        <v>210</v>
      </c>
      <c r="I23" s="37">
        <v>0.14513888888888887</v>
      </c>
      <c r="J23" s="4">
        <v>5</v>
      </c>
      <c r="K23" s="7"/>
      <c r="L23" s="2">
        <v>1.9444444444444445E-2</v>
      </c>
      <c r="M23" s="73" t="s">
        <v>134</v>
      </c>
      <c r="N23" s="73" t="s">
        <v>83</v>
      </c>
      <c r="O23" s="73" t="s">
        <v>135</v>
      </c>
      <c r="P23" s="47">
        <v>3.0153500000000002</v>
      </c>
      <c r="S23">
        <v>20</v>
      </c>
      <c r="U23" s="7"/>
      <c r="V23" s="13">
        <v>9.0000000000000036</v>
      </c>
      <c r="W23" s="13">
        <v>167</v>
      </c>
      <c r="X23" s="40">
        <v>28</v>
      </c>
      <c r="Y23" s="4">
        <v>7.0000000000000053</v>
      </c>
      <c r="Z23" s="4">
        <v>-35.999999999999993</v>
      </c>
      <c r="AA23" s="4">
        <v>-15</v>
      </c>
      <c r="AB23" s="4">
        <v>-31.999999999999964</v>
      </c>
      <c r="AC23" s="13">
        <v>4</v>
      </c>
      <c r="AD23" s="15">
        <v>63.999999999999993</v>
      </c>
      <c r="AG23" s="18">
        <v>-20</v>
      </c>
      <c r="AH23" s="19">
        <v>10</v>
      </c>
      <c r="AI23" s="19">
        <v>225</v>
      </c>
      <c r="AJ23" s="20">
        <v>8</v>
      </c>
      <c r="AK23" s="19">
        <v>8</v>
      </c>
      <c r="AL23" s="19">
        <v>17.000000000000007</v>
      </c>
      <c r="AM23" s="19">
        <v>17.000000000000007</v>
      </c>
      <c r="AN23" s="19">
        <v>184</v>
      </c>
      <c r="AO23" s="19">
        <v>162</v>
      </c>
      <c r="AP23" s="19">
        <v>188</v>
      </c>
      <c r="AQ23" s="19">
        <v>414</v>
      </c>
      <c r="AR23" s="47">
        <v>-149.23249999999999</v>
      </c>
      <c r="AU23">
        <v>-80</v>
      </c>
    </row>
    <row r="24" spans="1:47">
      <c r="A24" s="30">
        <v>45831</v>
      </c>
      <c r="B24" s="31">
        <v>45831</v>
      </c>
      <c r="C24" s="32" t="s">
        <v>81</v>
      </c>
      <c r="D24" s="33">
        <v>0</v>
      </c>
      <c r="E24" s="35">
        <v>2.0833333333333332E-2</v>
      </c>
      <c r="F24" s="34">
        <v>30</v>
      </c>
      <c r="G24" s="33">
        <v>0.16666666666666666</v>
      </c>
      <c r="H24" s="36">
        <v>210</v>
      </c>
      <c r="I24" s="37">
        <v>0.15902777777777777</v>
      </c>
      <c r="J24" s="4">
        <v>5</v>
      </c>
      <c r="K24" s="7"/>
      <c r="L24" s="2">
        <v>2.1527777777777781E-2</v>
      </c>
      <c r="M24" s="73" t="s">
        <v>136</v>
      </c>
      <c r="N24" s="73" t="s">
        <v>137</v>
      </c>
      <c r="O24" s="73" t="s">
        <v>138</v>
      </c>
      <c r="P24" s="47">
        <v>3.0397500000000002</v>
      </c>
      <c r="Q24" s="73" t="s">
        <v>44</v>
      </c>
      <c r="S24">
        <v>20</v>
      </c>
      <c r="U24" s="7"/>
      <c r="V24" s="13">
        <v>24.999999999999996</v>
      </c>
      <c r="W24" s="13">
        <v>168</v>
      </c>
      <c r="X24" s="40">
        <v>31.000000000000004</v>
      </c>
      <c r="Y24" s="4">
        <v>26.000000000000004</v>
      </c>
      <c r="Z24" s="4">
        <v>-15.999999999999982</v>
      </c>
      <c r="AA24" s="4">
        <v>-11</v>
      </c>
      <c r="AB24" s="4">
        <v>-11</v>
      </c>
      <c r="AC24" s="13">
        <v>5</v>
      </c>
      <c r="AD24" s="15">
        <v>46.999999999999986</v>
      </c>
      <c r="AG24" s="18">
        <v>-20</v>
      </c>
      <c r="AH24" s="19">
        <v>10</v>
      </c>
      <c r="AI24" s="19">
        <v>225</v>
      </c>
      <c r="AJ24" s="20">
        <v>11.000000000000004</v>
      </c>
      <c r="AK24" s="19">
        <v>11.000000000000004</v>
      </c>
      <c r="AL24" s="19">
        <v>36</v>
      </c>
      <c r="AM24" s="19">
        <v>36</v>
      </c>
      <c r="AN24" s="19">
        <v>204</v>
      </c>
      <c r="AO24" s="19">
        <v>172</v>
      </c>
      <c r="AP24" s="19">
        <v>209</v>
      </c>
      <c r="AQ24" s="19">
        <v>397</v>
      </c>
      <c r="AR24" s="47">
        <v>-148.01249999999999</v>
      </c>
      <c r="AS24">
        <v>-225</v>
      </c>
      <c r="AU24">
        <v>-80</v>
      </c>
    </row>
    <row r="25" spans="1:47">
      <c r="A25" s="30">
        <v>45832</v>
      </c>
      <c r="B25" s="31">
        <v>45832</v>
      </c>
      <c r="C25" s="32" t="s">
        <v>81</v>
      </c>
      <c r="D25" s="33">
        <v>0</v>
      </c>
      <c r="E25" s="35">
        <v>2.0833333333333332E-2</v>
      </c>
      <c r="F25" s="34">
        <v>30</v>
      </c>
      <c r="G25" s="33">
        <v>0.16666666666666666</v>
      </c>
      <c r="H25" s="36">
        <v>210</v>
      </c>
      <c r="I25" s="37">
        <v>0.15277777777777776</v>
      </c>
      <c r="J25" s="4">
        <v>5</v>
      </c>
      <c r="K25" s="7"/>
      <c r="L25" s="2">
        <v>2.361111111111111E-2</v>
      </c>
      <c r="M25" s="73" t="s">
        <v>139</v>
      </c>
      <c r="N25" s="73" t="s">
        <v>128</v>
      </c>
      <c r="O25" s="73" t="s">
        <v>140</v>
      </c>
      <c r="P25" s="47">
        <v>3.02325</v>
      </c>
      <c r="R25" s="73" t="s">
        <v>44</v>
      </c>
      <c r="S25">
        <v>22</v>
      </c>
      <c r="U25" s="7"/>
      <c r="V25" s="13">
        <v>12.000000000000007</v>
      </c>
      <c r="W25" s="13">
        <v>169</v>
      </c>
      <c r="X25" s="40">
        <v>34</v>
      </c>
      <c r="Y25" s="4">
        <v>16.000000000000007</v>
      </c>
      <c r="Z25" s="4">
        <v>-24.999999999999993</v>
      </c>
      <c r="AA25" s="4">
        <v>-7</v>
      </c>
      <c r="AB25" s="4">
        <v>-20.000000000000007</v>
      </c>
      <c r="AC25" s="13">
        <v>5</v>
      </c>
      <c r="AD25" s="15">
        <v>58.999999999999993</v>
      </c>
      <c r="AG25" s="18">
        <v>-20</v>
      </c>
      <c r="AH25" s="19">
        <v>10</v>
      </c>
      <c r="AI25" s="19">
        <v>225</v>
      </c>
      <c r="AJ25" s="20">
        <v>14</v>
      </c>
      <c r="AK25" s="19">
        <v>14</v>
      </c>
      <c r="AL25" s="19">
        <v>26.000000000000007</v>
      </c>
      <c r="AM25" s="19">
        <v>26.000000000000007</v>
      </c>
      <c r="AN25" s="19">
        <v>195</v>
      </c>
      <c r="AO25" s="19">
        <v>167.5</v>
      </c>
      <c r="AP25" s="19">
        <v>200</v>
      </c>
      <c r="AQ25" s="19">
        <v>409</v>
      </c>
      <c r="AR25" s="47">
        <v>-148.83750000000001</v>
      </c>
      <c r="AT25">
        <v>-210</v>
      </c>
      <c r="AU25">
        <v>-78</v>
      </c>
    </row>
    <row r="26" spans="1:47">
      <c r="A26" s="30">
        <v>45833</v>
      </c>
      <c r="B26" s="31">
        <v>45833</v>
      </c>
      <c r="C26" s="32" t="s">
        <v>81</v>
      </c>
      <c r="D26" s="33">
        <v>0</v>
      </c>
      <c r="E26" s="35">
        <v>2.0833333333333332E-2</v>
      </c>
      <c r="F26" s="34">
        <v>30</v>
      </c>
      <c r="G26" s="33">
        <v>0.16666666666666666</v>
      </c>
      <c r="H26" s="36">
        <v>210</v>
      </c>
      <c r="I26" s="37">
        <v>0.1361111111111111</v>
      </c>
      <c r="J26" s="4">
        <v>5</v>
      </c>
      <c r="K26" s="7"/>
      <c r="L26" s="2">
        <v>1.1111111111111112E-2</v>
      </c>
      <c r="M26" s="75">
        <v>2.013888888888889E-2</v>
      </c>
      <c r="N26" s="73" t="s">
        <v>112</v>
      </c>
      <c r="O26" s="73" t="s">
        <v>141</v>
      </c>
      <c r="P26" s="47">
        <v>3.0370499999999998</v>
      </c>
      <c r="R26" s="73" t="s">
        <v>44</v>
      </c>
      <c r="S26">
        <v>26</v>
      </c>
      <c r="U26" s="7"/>
      <c r="V26" s="13">
        <v>13.000000000000002</v>
      </c>
      <c r="W26" s="13">
        <v>162</v>
      </c>
      <c r="X26" s="40">
        <v>16</v>
      </c>
      <c r="Y26" s="4">
        <v>-0.99999999999999645</v>
      </c>
      <c r="Z26" s="4">
        <v>-48.999999999999986</v>
      </c>
      <c r="AA26" s="4">
        <v>-32</v>
      </c>
      <c r="AB26" s="4">
        <v>-44</v>
      </c>
      <c r="AC26" s="13">
        <v>5</v>
      </c>
      <c r="AD26" s="15">
        <v>64.999999999999986</v>
      </c>
      <c r="AG26" s="18">
        <v>-20</v>
      </c>
      <c r="AH26" s="19">
        <v>10</v>
      </c>
      <c r="AI26" s="19">
        <v>225</v>
      </c>
      <c r="AJ26" s="20">
        <v>-4</v>
      </c>
      <c r="AK26" s="19">
        <v>-4</v>
      </c>
      <c r="AL26" s="19">
        <v>9.0000000000000036</v>
      </c>
      <c r="AM26" s="19">
        <v>9.0000000000000036</v>
      </c>
      <c r="AN26" s="19">
        <v>171</v>
      </c>
      <c r="AO26" s="19">
        <v>155.5</v>
      </c>
      <c r="AP26" s="19">
        <v>176</v>
      </c>
      <c r="AQ26" s="19">
        <v>415</v>
      </c>
      <c r="AR26" s="47">
        <v>-148.14750000000001</v>
      </c>
      <c r="AT26">
        <v>-210</v>
      </c>
      <c r="AU26">
        <v>-74</v>
      </c>
    </row>
    <row r="27" spans="1:47">
      <c r="A27" s="30">
        <v>45834</v>
      </c>
      <c r="B27" s="31">
        <v>45834</v>
      </c>
      <c r="C27" s="32" t="s">
        <v>81</v>
      </c>
      <c r="D27" s="33">
        <v>0</v>
      </c>
      <c r="E27" s="35">
        <v>2.0833333333333332E-2</v>
      </c>
      <c r="F27" s="34">
        <v>30</v>
      </c>
      <c r="G27" s="33">
        <v>0.16666666666666666</v>
      </c>
      <c r="H27" s="36">
        <v>210</v>
      </c>
      <c r="I27" s="37">
        <v>0.14861111111111111</v>
      </c>
      <c r="J27" s="4">
        <v>5</v>
      </c>
      <c r="K27" s="7"/>
      <c r="L27" s="2">
        <v>3.9583333333333331E-2</v>
      </c>
      <c r="M27" s="73" t="s">
        <v>117</v>
      </c>
      <c r="N27" s="73" t="s">
        <v>84</v>
      </c>
      <c r="O27" s="73" t="s">
        <v>142</v>
      </c>
      <c r="P27" s="47">
        <v>3.0417000000000001</v>
      </c>
      <c r="S27">
        <v>22</v>
      </c>
      <c r="U27" s="7"/>
      <c r="V27" s="13">
        <v>8.0000000000000018</v>
      </c>
      <c r="W27" s="13">
        <v>144</v>
      </c>
      <c r="X27" s="40">
        <v>57</v>
      </c>
      <c r="Y27" s="4">
        <v>35</v>
      </c>
      <c r="Z27" s="4">
        <v>-30.999999999999972</v>
      </c>
      <c r="AA27" s="4">
        <v>-9</v>
      </c>
      <c r="AB27" s="4">
        <v>-26.999999999999986</v>
      </c>
      <c r="AC27" s="13">
        <v>4</v>
      </c>
      <c r="AD27" s="15">
        <v>87.999999999999972</v>
      </c>
      <c r="AG27" s="18">
        <v>-20</v>
      </c>
      <c r="AH27" s="19">
        <v>10</v>
      </c>
      <c r="AI27" s="19">
        <v>225</v>
      </c>
      <c r="AJ27" s="20">
        <v>37</v>
      </c>
      <c r="AK27" s="19">
        <v>37</v>
      </c>
      <c r="AL27" s="19">
        <v>45</v>
      </c>
      <c r="AM27" s="19">
        <v>45</v>
      </c>
      <c r="AN27" s="19">
        <v>189</v>
      </c>
      <c r="AO27" s="19">
        <v>164.5</v>
      </c>
      <c r="AP27" s="19">
        <v>193</v>
      </c>
      <c r="AQ27" s="19">
        <v>438</v>
      </c>
      <c r="AR27" s="47">
        <v>-147.91499999999999</v>
      </c>
      <c r="AU27">
        <v>-78</v>
      </c>
    </row>
    <row r="28" spans="1:47">
      <c r="A28" s="30">
        <v>45835</v>
      </c>
      <c r="B28" s="31">
        <v>45835</v>
      </c>
      <c r="C28" s="32" t="s">
        <v>81</v>
      </c>
      <c r="D28" s="33">
        <v>0</v>
      </c>
      <c r="E28" s="35">
        <v>2.0833333333333332E-2</v>
      </c>
      <c r="F28" s="34">
        <v>30</v>
      </c>
      <c r="G28" s="33">
        <v>0.16666666666666666</v>
      </c>
      <c r="H28" s="36">
        <v>210</v>
      </c>
      <c r="I28" s="37">
        <v>0.14652777777777778</v>
      </c>
      <c r="J28" s="4">
        <v>5</v>
      </c>
      <c r="K28" s="7"/>
      <c r="L28" s="2">
        <v>1.4583333333333332E-2</v>
      </c>
      <c r="M28" s="73" t="s">
        <v>139</v>
      </c>
      <c r="N28" s="73" t="s">
        <v>143</v>
      </c>
      <c r="O28" s="73" t="s">
        <v>84</v>
      </c>
      <c r="P28" s="47">
        <v>3.0414500000000002</v>
      </c>
      <c r="R28" s="73" t="s">
        <v>44</v>
      </c>
      <c r="S28">
        <v>20</v>
      </c>
      <c r="U28" s="7"/>
      <c r="V28" s="13">
        <v>25.000000000000011</v>
      </c>
      <c r="W28" s="13">
        <v>160.00000000000003</v>
      </c>
      <c r="X28" s="40">
        <v>20.999999999999996</v>
      </c>
      <c r="Y28" s="4">
        <v>16.000000000000007</v>
      </c>
      <c r="Z28" s="4">
        <v>-33.999999999999957</v>
      </c>
      <c r="AA28" s="4">
        <v>-28.999999999999972</v>
      </c>
      <c r="AB28" s="4">
        <v>-30.999999999999972</v>
      </c>
      <c r="AC28" s="13">
        <v>3</v>
      </c>
      <c r="AD28" s="15">
        <v>54.999999999999957</v>
      </c>
      <c r="AG28" s="18">
        <v>-20</v>
      </c>
      <c r="AH28" s="19">
        <v>10</v>
      </c>
      <c r="AI28" s="19">
        <v>225</v>
      </c>
      <c r="AJ28" s="20">
        <v>0.99999999999999645</v>
      </c>
      <c r="AK28" s="19">
        <v>0.99999999999999645</v>
      </c>
      <c r="AL28" s="19">
        <v>26.000000000000007</v>
      </c>
      <c r="AM28" s="19">
        <v>26.000000000000007</v>
      </c>
      <c r="AN28" s="19">
        <v>186.00000000000003</v>
      </c>
      <c r="AO28" s="19">
        <v>163</v>
      </c>
      <c r="AP28" s="19">
        <v>189.00000000000003</v>
      </c>
      <c r="AQ28" s="19">
        <v>404.99999999999994</v>
      </c>
      <c r="AR28" s="47">
        <v>-147.92749999999998</v>
      </c>
      <c r="AT28">
        <v>-210</v>
      </c>
      <c r="AU28">
        <v>-80</v>
      </c>
    </row>
    <row r="29" spans="1:47">
      <c r="A29" s="30">
        <v>45836</v>
      </c>
      <c r="B29" s="31">
        <v>45836</v>
      </c>
      <c r="C29" s="32" t="s">
        <v>81</v>
      </c>
      <c r="D29" s="33">
        <v>0</v>
      </c>
      <c r="E29" s="35">
        <v>2.0833333333333332E-2</v>
      </c>
      <c r="F29" s="34">
        <v>30</v>
      </c>
      <c r="G29" s="33">
        <v>0.16666666666666666</v>
      </c>
      <c r="H29" s="36">
        <v>210</v>
      </c>
      <c r="I29" s="37">
        <v>0.16319444444444445</v>
      </c>
      <c r="J29" s="4">
        <v>5</v>
      </c>
      <c r="K29" s="7"/>
      <c r="L29" s="2">
        <v>2.7083333333333334E-2</v>
      </c>
      <c r="M29" s="73" t="s">
        <v>94</v>
      </c>
      <c r="N29" s="73" t="s">
        <v>110</v>
      </c>
      <c r="O29" s="73" t="s">
        <v>144</v>
      </c>
      <c r="P29" s="47">
        <v>3.0519500000000002</v>
      </c>
      <c r="Q29" s="73" t="s">
        <v>44</v>
      </c>
      <c r="S29">
        <v>26</v>
      </c>
      <c r="U29" s="7"/>
      <c r="V29" s="13">
        <v>24.000000000000004</v>
      </c>
      <c r="W29" s="13">
        <v>167</v>
      </c>
      <c r="X29" s="40">
        <v>39</v>
      </c>
      <c r="Y29" s="4">
        <v>33.000000000000007</v>
      </c>
      <c r="Z29" s="4">
        <v>-9.9999999999999645</v>
      </c>
      <c r="AA29" s="4">
        <v>-4</v>
      </c>
      <c r="AB29" s="4">
        <v>-5.9999999999999787</v>
      </c>
      <c r="AC29" s="13">
        <v>4</v>
      </c>
      <c r="AD29" s="15">
        <v>48.999999999999964</v>
      </c>
      <c r="AG29" s="18">
        <v>-20</v>
      </c>
      <c r="AH29" s="19">
        <v>10</v>
      </c>
      <c r="AI29" s="19">
        <v>225</v>
      </c>
      <c r="AJ29" s="20">
        <v>19</v>
      </c>
      <c r="AK29" s="19">
        <v>19</v>
      </c>
      <c r="AL29" s="19">
        <v>43.000000000000007</v>
      </c>
      <c r="AM29" s="19">
        <v>43.000000000000007</v>
      </c>
      <c r="AN29" s="19">
        <v>210</v>
      </c>
      <c r="AO29" s="19">
        <v>175</v>
      </c>
      <c r="AP29" s="19">
        <v>214</v>
      </c>
      <c r="AQ29" s="19">
        <v>398.99999999999994</v>
      </c>
      <c r="AR29" s="47">
        <v>-147.4025</v>
      </c>
      <c r="AS29">
        <v>-225</v>
      </c>
      <c r="AU29">
        <v>-74</v>
      </c>
    </row>
    <row r="30" spans="1:47">
      <c r="A30" s="30">
        <v>45837</v>
      </c>
      <c r="B30" s="31">
        <v>45837</v>
      </c>
      <c r="C30" s="32" t="s">
        <v>81</v>
      </c>
      <c r="D30" s="33">
        <v>0</v>
      </c>
      <c r="E30" s="35">
        <v>2.0833333333333332E-2</v>
      </c>
      <c r="F30" s="34">
        <v>30</v>
      </c>
      <c r="G30" s="33">
        <v>0.16666666666666666</v>
      </c>
      <c r="H30" s="36">
        <v>210</v>
      </c>
      <c r="I30" s="37">
        <v>0.13888888888888887</v>
      </c>
      <c r="J30" s="4">
        <v>5</v>
      </c>
      <c r="K30" s="7"/>
      <c r="L30" s="2">
        <v>1.6666666666666666E-2</v>
      </c>
      <c r="M30" s="73" t="s">
        <v>145</v>
      </c>
      <c r="N30" s="73" t="s">
        <v>113</v>
      </c>
      <c r="O30" s="73" t="s">
        <v>146</v>
      </c>
      <c r="P30" s="47">
        <v>3.01505</v>
      </c>
      <c r="S30">
        <v>22</v>
      </c>
      <c r="U30" s="7"/>
      <c r="V30" s="13">
        <v>19.000000000000004</v>
      </c>
      <c r="W30" s="13">
        <v>151.99999999999997</v>
      </c>
      <c r="X30" s="40">
        <v>24</v>
      </c>
      <c r="Y30" s="4">
        <v>13.000000000000004</v>
      </c>
      <c r="Z30" s="4">
        <v>-45</v>
      </c>
      <c r="AA30" s="4">
        <v>-34.000000000000028</v>
      </c>
      <c r="AB30" s="4">
        <v>-39.999999999999979</v>
      </c>
      <c r="AC30" s="13">
        <v>5</v>
      </c>
      <c r="AD30" s="15">
        <v>69</v>
      </c>
      <c r="AG30" s="18">
        <v>-20</v>
      </c>
      <c r="AH30" s="19">
        <v>10</v>
      </c>
      <c r="AI30" s="19">
        <v>225</v>
      </c>
      <c r="AJ30" s="20">
        <v>4</v>
      </c>
      <c r="AK30" s="19">
        <v>4</v>
      </c>
      <c r="AL30" s="19">
        <v>23.000000000000004</v>
      </c>
      <c r="AM30" s="19">
        <v>23.000000000000004</v>
      </c>
      <c r="AN30" s="19">
        <v>174.99999999999997</v>
      </c>
      <c r="AO30" s="19">
        <v>157.5</v>
      </c>
      <c r="AP30" s="19">
        <v>179.99999999999997</v>
      </c>
      <c r="AQ30" s="19">
        <v>419</v>
      </c>
      <c r="AR30" s="47">
        <v>-149.2475</v>
      </c>
      <c r="AU30">
        <v>-78</v>
      </c>
    </row>
    <row r="31" spans="1:47">
      <c r="A31" s="30">
        <v>45838</v>
      </c>
      <c r="B31" s="31">
        <v>45838</v>
      </c>
      <c r="C31" s="32" t="s">
        <v>81</v>
      </c>
      <c r="D31" s="33">
        <v>0</v>
      </c>
      <c r="E31" s="35">
        <v>2.0833333333333332E-2</v>
      </c>
      <c r="F31" s="34">
        <v>30</v>
      </c>
      <c r="G31" s="33">
        <v>0.16666666666666666</v>
      </c>
      <c r="H31" s="36">
        <v>210</v>
      </c>
      <c r="I31" s="37">
        <v>0.14305555555555555</v>
      </c>
      <c r="J31" s="4">
        <v>5</v>
      </c>
      <c r="K31" s="7"/>
      <c r="L31" s="2">
        <v>1.5277777777777777E-2</v>
      </c>
      <c r="M31" s="73" t="s">
        <v>82</v>
      </c>
      <c r="N31" s="73" t="s">
        <v>147</v>
      </c>
      <c r="O31" s="73" t="s">
        <v>143</v>
      </c>
      <c r="P31" s="47">
        <v>3.0402</v>
      </c>
      <c r="S31">
        <v>18</v>
      </c>
      <c r="U31" s="7"/>
      <c r="V31" s="13">
        <v>23</v>
      </c>
      <c r="W31" s="13">
        <v>156</v>
      </c>
      <c r="X31" s="40">
        <v>22</v>
      </c>
      <c r="Y31" s="4">
        <v>15.000000000000002</v>
      </c>
      <c r="Z31" s="4">
        <v>-38.999999999999979</v>
      </c>
      <c r="AA31" s="4">
        <v>-32</v>
      </c>
      <c r="AB31" s="4">
        <v>-33.999999999999957</v>
      </c>
      <c r="AC31" s="13">
        <v>5</v>
      </c>
      <c r="AD31" s="15">
        <v>60.999999999999979</v>
      </c>
      <c r="AG31" s="18">
        <v>-20</v>
      </c>
      <c r="AH31" s="19">
        <v>10</v>
      </c>
      <c r="AI31" s="19">
        <v>225</v>
      </c>
      <c r="AJ31" s="20">
        <v>2</v>
      </c>
      <c r="AK31" s="19">
        <v>2</v>
      </c>
      <c r="AL31" s="19">
        <v>25</v>
      </c>
      <c r="AM31" s="19">
        <v>25</v>
      </c>
      <c r="AN31" s="19">
        <v>181</v>
      </c>
      <c r="AO31" s="19">
        <v>160.5</v>
      </c>
      <c r="AP31" s="19">
        <v>186</v>
      </c>
      <c r="AQ31" s="19">
        <v>411</v>
      </c>
      <c r="AR31" s="47">
        <v>-147.99</v>
      </c>
      <c r="AU31">
        <v>-82</v>
      </c>
    </row>
    <row r="32" spans="1:47">
      <c r="A32" s="30"/>
      <c r="B32" s="31"/>
      <c r="C32" s="32"/>
      <c r="D32" s="33"/>
      <c r="E32" s="35"/>
      <c r="F32" s="34"/>
      <c r="G32" s="33"/>
      <c r="H32" s="36"/>
      <c r="I32" s="37"/>
      <c r="J32" s="4"/>
      <c r="L32" s="2"/>
      <c r="M32" s="2"/>
      <c r="N32" s="2"/>
      <c r="O32" s="2"/>
      <c r="P32" s="47"/>
      <c r="V32" s="13"/>
      <c r="W32" s="13"/>
      <c r="X32" s="40"/>
      <c r="Y32" s="4"/>
      <c r="Z32" s="4"/>
      <c r="AA32" s="4"/>
      <c r="AB32" s="4"/>
      <c r="AC32" s="13"/>
      <c r="AD32" s="15"/>
      <c r="AG32" s="18"/>
      <c r="AH32" s="19"/>
      <c r="AI32" s="19"/>
      <c r="AJ32" s="20"/>
      <c r="AK32" s="19"/>
      <c r="AL32" s="19"/>
      <c r="AM32" s="19"/>
      <c r="AN32" s="19"/>
      <c r="AO32" s="19"/>
      <c r="AP32" s="19"/>
      <c r="AQ32" s="19"/>
      <c r="AR32" s="47"/>
    </row>
    <row r="33" spans="4:43">
      <c r="L33" s="5">
        <v>3.2855902777777772E-2</v>
      </c>
      <c r="M33" s="5" t="e">
        <v>#DIV/0!</v>
      </c>
      <c r="N33" s="5" t="e">
        <v>#DIV/0!</v>
      </c>
      <c r="O33" s="38" t="e">
        <v>#DIV/0!</v>
      </c>
      <c r="P33" s="48">
        <v>3.0303562500000005</v>
      </c>
      <c r="Q33" s="48"/>
      <c r="R33" s="48"/>
      <c r="S33" s="48"/>
      <c r="T33" s="48"/>
      <c r="V33" s="16">
        <v>15.187500000000002</v>
      </c>
      <c r="W33" s="14">
        <v>168.3125</v>
      </c>
      <c r="X33" s="16">
        <v>47.3125</v>
      </c>
      <c r="AD33" s="14">
        <v>56.499999999999986</v>
      </c>
    </row>
    <row r="34" spans="4:43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6" spans="4:43">
      <c r="D36" s="2"/>
    </row>
    <row r="37" spans="4:43">
      <c r="D37" s="2"/>
    </row>
    <row r="38" spans="4:43">
      <c r="D38" s="2"/>
    </row>
    <row r="39" spans="4:43">
      <c r="D39" s="2"/>
    </row>
    <row r="40" spans="4:43">
      <c r="D40" s="2"/>
    </row>
    <row r="41" spans="4:43">
      <c r="D41" s="2"/>
    </row>
    <row r="42" spans="4:43">
      <c r="D42" s="2"/>
    </row>
    <row r="43" spans="4:43">
      <c r="D43" s="2"/>
    </row>
    <row r="44" spans="4:43">
      <c r="D44" s="2"/>
    </row>
    <row r="45" spans="4:43">
      <c r="D45" s="2"/>
    </row>
    <row r="46" spans="4:43">
      <c r="D46" s="2"/>
    </row>
    <row r="47" spans="4:43">
      <c r="D47" s="2"/>
    </row>
    <row r="48" spans="4:43">
      <c r="D48" s="2"/>
    </row>
  </sheetData>
  <autoFilter ref="B1:Z1" xr:uid="{00000000-0001-0000-0000-000000000000}"/>
  <mergeCells count="1">
    <mergeCell ref="AG34:AQ34"/>
  </mergeCells>
  <conditionalFormatting sqref="V2:V32">
    <cfRule type="cellIs" dxfId="75" priority="6" operator="greaterThan">
      <formula>$F$2</formula>
    </cfRule>
    <cfRule type="cellIs" dxfId="74" priority="7" operator="lessThanOrEqual">
      <formula>$F$2</formula>
    </cfRule>
  </conditionalFormatting>
  <conditionalFormatting sqref="V33">
    <cfRule type="cellIs" dxfId="73" priority="1" operator="lessThanOrEqual">
      <formula>0</formula>
    </cfRule>
  </conditionalFormatting>
  <conditionalFormatting sqref="W2:W32">
    <cfRule type="cellIs" dxfId="72" priority="4" operator="greaterThan">
      <formula>$H$2</formula>
    </cfRule>
    <cfRule type="cellIs" dxfId="71" priority="5" operator="lessThanOrEqual">
      <formula>$H$2</formula>
    </cfRule>
  </conditionalFormatting>
  <conditionalFormatting sqref="AC2:AC32">
    <cfRule type="cellIs" dxfId="70" priority="2" operator="greaterThan">
      <formula>5</formula>
    </cfRule>
  </conditionalFormatting>
  <conditionalFormatting sqref="AD2:AD32 P2:T33">
    <cfRule type="cellIs" dxfId="69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8ABC-F259-4A2D-9898-0048A3C1DE0C}">
  <dimension ref="A1:AW48"/>
  <sheetViews>
    <sheetView showGridLines="0" topLeftCell="R1" zoomScale="70" zoomScaleNormal="70" workbookViewId="0">
      <pane ySplit="1" topLeftCell="A8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4.269531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18" width="11.1796875" customWidth="1"/>
    <col min="19" max="19" width="11.1796875" hidden="1" customWidth="1"/>
    <col min="20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8" max="48" width="9.1796875" hidden="1" customWidth="1"/>
  </cols>
  <sheetData>
    <row r="1" spans="1:49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148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149</v>
      </c>
      <c r="AJ1" s="43" t="s">
        <v>23</v>
      </c>
      <c r="AK1" s="43" t="s">
        <v>2</v>
      </c>
      <c r="AL1" s="43" t="s">
        <v>38</v>
      </c>
      <c r="AM1" s="43" t="s">
        <v>39</v>
      </c>
      <c r="AN1" s="43" t="s">
        <v>24</v>
      </c>
      <c r="AO1" s="43" t="s">
        <v>25</v>
      </c>
      <c r="AP1" s="43" t="s">
        <v>26</v>
      </c>
      <c r="AQ1" s="17" t="s">
        <v>27</v>
      </c>
      <c r="AR1" s="17" t="s">
        <v>29</v>
      </c>
      <c r="AS1" s="9" t="s">
        <v>33</v>
      </c>
      <c r="AT1" t="s">
        <v>34</v>
      </c>
      <c r="AU1" t="s">
        <v>40</v>
      </c>
      <c r="AV1" s="44" t="s">
        <v>41</v>
      </c>
      <c r="AW1" s="44" t="s">
        <v>42</v>
      </c>
    </row>
    <row r="2" spans="1:49">
      <c r="A2" s="30">
        <f t="shared" ref="A2:A31" si="0">B2</f>
        <v>45809</v>
      </c>
      <c r="B2" s="31">
        <v>45809</v>
      </c>
      <c r="C2" s="32" t="s">
        <v>150</v>
      </c>
      <c r="D2" s="33">
        <v>0</v>
      </c>
      <c r="E2" s="35">
        <f>(D2+(TIME(0,F2,0)))</f>
        <v>2.0833333333333332E-2</v>
      </c>
      <c r="F2" s="34">
        <v>30</v>
      </c>
      <c r="G2" s="33">
        <v>0.16666666666666666</v>
      </c>
      <c r="H2" s="36">
        <f>((G2-D2)*1440)-F2</f>
        <v>210</v>
      </c>
      <c r="I2" s="37">
        <f>(N2+(TIME(0,J2,0)))</f>
        <v>0.1423611111111111</v>
      </c>
      <c r="J2" s="4">
        <v>5</v>
      </c>
      <c r="K2" s="7"/>
      <c r="L2" s="76">
        <v>3.3333333333333333E-2</v>
      </c>
      <c r="M2" s="76">
        <v>3.9583333333333331E-2</v>
      </c>
      <c r="N2" s="76">
        <v>0.1388888888888889</v>
      </c>
      <c r="O2" s="76">
        <v>0.14027777777777778</v>
      </c>
      <c r="P2" s="47">
        <v>2.077</v>
      </c>
      <c r="Q2" t="s">
        <v>44</v>
      </c>
      <c r="R2" t="s">
        <v>45</v>
      </c>
      <c r="T2" t="s">
        <v>45</v>
      </c>
      <c r="U2" s="7"/>
      <c r="V2" s="13">
        <f>((M2-L2)*1440)</f>
        <v>8.9999999999999982</v>
      </c>
      <c r="W2" s="13">
        <f>((N2-M2)*1440)</f>
        <v>143</v>
      </c>
      <c r="X2" s="40">
        <f>((L2-D2)*1440)</f>
        <v>48</v>
      </c>
      <c r="Y2" s="4">
        <f>((M2-E2)*1440)</f>
        <v>27</v>
      </c>
      <c r="Z2" s="4">
        <f t="shared" ref="Z2:Z31" si="1">((N2-G2)*1440)</f>
        <v>-39.999999999999979</v>
      </c>
      <c r="AA2" s="4">
        <f t="shared" ref="AA2:AA31" si="2">W2-(H2-X2)</f>
        <v>-19</v>
      </c>
      <c r="AB2" s="4">
        <f t="shared" ref="AB2:AB31" si="3">((O2-G2)*1440)</f>
        <v>-37.999999999999986</v>
      </c>
      <c r="AC2" s="13">
        <f t="shared" ref="AC2:AC31" si="4">ROUND((O2-N2)*1440,0)</f>
        <v>2</v>
      </c>
      <c r="AD2" s="15">
        <f t="shared" ref="AD2:AD31" si="5">(Z2*-1)+X2</f>
        <v>87.999999999999972</v>
      </c>
      <c r="AG2" s="18">
        <v>0</v>
      </c>
      <c r="AH2" s="19">
        <f t="shared" ref="AH2:AH31" si="6">AG2+F2</f>
        <v>30</v>
      </c>
      <c r="AI2" s="19">
        <v>210</v>
      </c>
      <c r="AJ2" s="19">
        <f t="shared" ref="AJ2:AJ31" si="7">AG2+H2+AH2</f>
        <v>240</v>
      </c>
      <c r="AK2" s="20">
        <f>AG2+X2-10</f>
        <v>38</v>
      </c>
      <c r="AL2" s="19">
        <f>AK2</f>
        <v>38</v>
      </c>
      <c r="AM2" s="19">
        <f>AN2</f>
        <v>57</v>
      </c>
      <c r="AN2" s="19">
        <f>AH2+Y2</f>
        <v>57</v>
      </c>
      <c r="AO2" s="19">
        <f>AN2+W2</f>
        <v>200</v>
      </c>
      <c r="AP2" s="19">
        <f>(AO2/2)+50</f>
        <v>150</v>
      </c>
      <c r="AQ2" s="19">
        <f>AO2+AC2</f>
        <v>202</v>
      </c>
      <c r="AR2" s="19">
        <f>AD2+220</f>
        <v>308</v>
      </c>
      <c r="AS2" s="47">
        <f>(P2*50)-150</f>
        <v>-46.150000000000006</v>
      </c>
      <c r="AT2" s="77">
        <f t="shared" ref="AT2:AT30" si="8">IF(Q2="Yes",-100,0)</f>
        <v>-100</v>
      </c>
      <c r="AU2" s="77"/>
      <c r="AV2" s="77"/>
      <c r="AW2" s="77"/>
    </row>
    <row r="3" spans="1:49">
      <c r="A3" s="30">
        <f t="shared" si="0"/>
        <v>45810</v>
      </c>
      <c r="B3" s="31">
        <v>45810</v>
      </c>
      <c r="C3" s="32" t="s">
        <v>150</v>
      </c>
      <c r="D3" s="33">
        <v>0</v>
      </c>
      <c r="E3" s="35">
        <f t="shared" ref="E3:E31" si="9">(D3+(TIME(0,F3,0)))</f>
        <v>2.0833333333333332E-2</v>
      </c>
      <c r="F3" s="34">
        <v>30</v>
      </c>
      <c r="G3" s="33">
        <v>0.16666666666666666</v>
      </c>
      <c r="H3" s="36">
        <f t="shared" ref="H3:H31" si="10">((G3-D3)*1440)-F3</f>
        <v>210</v>
      </c>
      <c r="I3" s="37">
        <f t="shared" ref="I3:I31" si="11">(N3+(TIME(0,J3,0)))</f>
        <v>0.12222222222222222</v>
      </c>
      <c r="J3" s="4">
        <v>5</v>
      </c>
      <c r="K3" s="7"/>
      <c r="L3" s="78">
        <v>3.0555555555555555E-2</v>
      </c>
      <c r="M3" s="76">
        <v>3.9583333333333331E-2</v>
      </c>
      <c r="N3" s="78">
        <v>0.11874999999999999</v>
      </c>
      <c r="O3" s="78">
        <v>0.12013888888888889</v>
      </c>
      <c r="P3" s="47">
        <v>2.0841400000000001</v>
      </c>
      <c r="Q3" t="s">
        <v>45</v>
      </c>
      <c r="R3" t="s">
        <v>44</v>
      </c>
      <c r="T3" t="s">
        <v>45</v>
      </c>
      <c r="U3" s="7"/>
      <c r="V3" s="13">
        <f t="shared" ref="V3:W31" si="12">((M3-L3)*1440)</f>
        <v>12.999999999999998</v>
      </c>
      <c r="W3" s="13">
        <f t="shared" si="12"/>
        <v>114</v>
      </c>
      <c r="X3" s="40">
        <f t="shared" ref="X3:Y31" si="13">((L3-D3)*1440)</f>
        <v>44</v>
      </c>
      <c r="Y3" s="4">
        <f t="shared" si="13"/>
        <v>27</v>
      </c>
      <c r="Z3" s="4">
        <f t="shared" si="1"/>
        <v>-69</v>
      </c>
      <c r="AA3" s="4">
        <f t="shared" si="2"/>
        <v>-52</v>
      </c>
      <c r="AB3" s="4">
        <f t="shared" si="3"/>
        <v>-66.999999999999986</v>
      </c>
      <c r="AC3" s="13">
        <f t="shared" si="4"/>
        <v>2</v>
      </c>
      <c r="AD3" s="15">
        <f t="shared" si="5"/>
        <v>113</v>
      </c>
      <c r="AG3" s="18">
        <v>0</v>
      </c>
      <c r="AH3" s="19">
        <f t="shared" si="6"/>
        <v>30</v>
      </c>
      <c r="AI3" s="19">
        <v>210</v>
      </c>
      <c r="AJ3" s="19">
        <f t="shared" si="7"/>
        <v>240</v>
      </c>
      <c r="AK3" s="20">
        <f t="shared" ref="AK3:AK31" si="14">AG3+X3-10</f>
        <v>34</v>
      </c>
      <c r="AL3" s="19">
        <f t="shared" ref="AL3:AL19" si="15">AK3</f>
        <v>34</v>
      </c>
      <c r="AM3" s="19">
        <f t="shared" ref="AM3:AM31" si="16">AN3</f>
        <v>57</v>
      </c>
      <c r="AN3" s="19">
        <f t="shared" ref="AN3:AN31" si="17">AH3+Y3</f>
        <v>57</v>
      </c>
      <c r="AO3" s="19">
        <f t="shared" ref="AO3:AO15" si="18">AN3+W3</f>
        <v>171</v>
      </c>
      <c r="AP3" s="19">
        <f t="shared" ref="AP3:AP31" si="19">(AO3/2)+50</f>
        <v>135.5</v>
      </c>
      <c r="AQ3" s="19">
        <f t="shared" ref="AQ3:AQ31" si="20">AO3+AC3</f>
        <v>173</v>
      </c>
      <c r="AR3" s="19">
        <f t="shared" ref="AR3:AR31" si="21">AD3+220</f>
        <v>333</v>
      </c>
      <c r="AS3" s="47">
        <f t="shared" ref="AS3:AS31" si="22">(P3*50)-150</f>
        <v>-45.792999999999992</v>
      </c>
      <c r="AT3" s="77"/>
      <c r="AU3" s="77">
        <f t="shared" ref="AU3:AU6" si="23">IF(R3="Yes",-88,0)</f>
        <v>-88</v>
      </c>
      <c r="AV3" s="77"/>
      <c r="AW3" s="77"/>
    </row>
    <row r="4" spans="1:49">
      <c r="A4" s="30">
        <f t="shared" si="0"/>
        <v>45811</v>
      </c>
      <c r="B4" s="31">
        <v>45811</v>
      </c>
      <c r="C4" s="32" t="s">
        <v>150</v>
      </c>
      <c r="D4" s="33">
        <v>0</v>
      </c>
      <c r="E4" s="35">
        <f t="shared" si="9"/>
        <v>2.0833333333333332E-2</v>
      </c>
      <c r="F4" s="34">
        <v>30</v>
      </c>
      <c r="G4" s="33">
        <v>0.16666666666666666</v>
      </c>
      <c r="H4" s="36">
        <f t="shared" si="10"/>
        <v>210</v>
      </c>
      <c r="I4" s="37">
        <f t="shared" si="11"/>
        <v>0.13541666666666666</v>
      </c>
      <c r="J4" s="4">
        <v>5</v>
      </c>
      <c r="K4" s="7"/>
      <c r="L4" s="78">
        <v>2.361111111111111E-2</v>
      </c>
      <c r="M4" s="76">
        <v>3.1944444444444442E-2</v>
      </c>
      <c r="N4" s="78">
        <v>0.13194444444444445</v>
      </c>
      <c r="O4" s="78">
        <v>0.13333333333333333</v>
      </c>
      <c r="P4" s="47">
        <v>2.0970800000000001</v>
      </c>
      <c r="Q4" t="s">
        <v>45</v>
      </c>
      <c r="R4" t="s">
        <v>45</v>
      </c>
      <c r="T4" t="s">
        <v>45</v>
      </c>
      <c r="U4" s="7"/>
      <c r="V4" s="13">
        <f t="shared" si="12"/>
        <v>11.999999999999996</v>
      </c>
      <c r="W4" s="13">
        <f t="shared" si="12"/>
        <v>144</v>
      </c>
      <c r="X4" s="40">
        <f t="shared" si="13"/>
        <v>34</v>
      </c>
      <c r="Y4" s="4">
        <f t="shared" si="13"/>
        <v>15.999999999999998</v>
      </c>
      <c r="Z4" s="4">
        <f t="shared" si="1"/>
        <v>-49.999999999999986</v>
      </c>
      <c r="AA4" s="4">
        <f t="shared" si="2"/>
        <v>-32</v>
      </c>
      <c r="AB4" s="4">
        <f t="shared" si="3"/>
        <v>-47.999999999999986</v>
      </c>
      <c r="AC4" s="13">
        <f t="shared" si="4"/>
        <v>2</v>
      </c>
      <c r="AD4" s="15">
        <f t="shared" si="5"/>
        <v>83.999999999999986</v>
      </c>
      <c r="AG4" s="18">
        <v>0</v>
      </c>
      <c r="AH4" s="19">
        <f t="shared" si="6"/>
        <v>30</v>
      </c>
      <c r="AI4" s="19">
        <v>210</v>
      </c>
      <c r="AJ4" s="19">
        <f t="shared" si="7"/>
        <v>240</v>
      </c>
      <c r="AK4" s="20">
        <f t="shared" si="14"/>
        <v>24</v>
      </c>
      <c r="AL4" s="19">
        <f t="shared" si="15"/>
        <v>24</v>
      </c>
      <c r="AM4" s="19">
        <f t="shared" si="16"/>
        <v>46</v>
      </c>
      <c r="AN4" s="19">
        <f t="shared" si="17"/>
        <v>46</v>
      </c>
      <c r="AO4" s="19">
        <f t="shared" si="18"/>
        <v>190</v>
      </c>
      <c r="AP4" s="19">
        <f t="shared" si="19"/>
        <v>145</v>
      </c>
      <c r="AQ4" s="19">
        <f t="shared" si="20"/>
        <v>192</v>
      </c>
      <c r="AR4" s="19">
        <f t="shared" si="21"/>
        <v>304</v>
      </c>
      <c r="AS4" s="47">
        <f t="shared" si="22"/>
        <v>-45.146000000000001</v>
      </c>
      <c r="AT4" s="77"/>
      <c r="AU4" s="77"/>
      <c r="AV4" s="77"/>
      <c r="AW4" s="77"/>
    </row>
    <row r="5" spans="1:49">
      <c r="A5" s="30">
        <f t="shared" si="0"/>
        <v>45812</v>
      </c>
      <c r="B5" s="31">
        <v>45812</v>
      </c>
      <c r="C5" s="32" t="s">
        <v>150</v>
      </c>
      <c r="D5" s="33">
        <v>0</v>
      </c>
      <c r="E5" s="35">
        <f t="shared" si="9"/>
        <v>2.0833333333333332E-2</v>
      </c>
      <c r="F5" s="34">
        <v>30</v>
      </c>
      <c r="G5" s="33">
        <v>0.16666666666666666</v>
      </c>
      <c r="H5" s="36">
        <f t="shared" si="10"/>
        <v>210</v>
      </c>
      <c r="I5" s="37">
        <f t="shared" si="11"/>
        <v>0.14444444444444443</v>
      </c>
      <c r="J5" s="4">
        <v>5</v>
      </c>
      <c r="K5" s="7"/>
      <c r="L5" s="78">
        <v>5.1388888888888887E-2</v>
      </c>
      <c r="M5" s="76">
        <v>5.8333333333333334E-2</v>
      </c>
      <c r="N5" s="78">
        <v>0.14097222222222222</v>
      </c>
      <c r="O5" s="78">
        <v>0.14305555555555555</v>
      </c>
      <c r="P5" s="47">
        <v>2.0578400000000001</v>
      </c>
      <c r="Q5" t="s">
        <v>44</v>
      </c>
      <c r="R5" t="s">
        <v>45</v>
      </c>
      <c r="T5" t="s">
        <v>45</v>
      </c>
      <c r="U5" s="7"/>
      <c r="V5" s="13">
        <f t="shared" si="12"/>
        <v>10.000000000000004</v>
      </c>
      <c r="W5" s="13">
        <f t="shared" si="12"/>
        <v>119</v>
      </c>
      <c r="X5" s="40">
        <f t="shared" si="13"/>
        <v>74</v>
      </c>
      <c r="Y5" s="4">
        <f t="shared" si="13"/>
        <v>54.000000000000007</v>
      </c>
      <c r="Z5" s="4">
        <f t="shared" si="1"/>
        <v>-36.999999999999986</v>
      </c>
      <c r="AA5" s="4">
        <f t="shared" si="2"/>
        <v>-17</v>
      </c>
      <c r="AB5" s="4">
        <f t="shared" si="3"/>
        <v>-34</v>
      </c>
      <c r="AC5" s="13">
        <f t="shared" si="4"/>
        <v>3</v>
      </c>
      <c r="AD5" s="15">
        <f t="shared" si="5"/>
        <v>110.99999999999999</v>
      </c>
      <c r="AG5" s="18">
        <v>0</v>
      </c>
      <c r="AH5" s="19">
        <f t="shared" si="6"/>
        <v>30</v>
      </c>
      <c r="AI5" s="19">
        <v>210</v>
      </c>
      <c r="AJ5" s="19">
        <f t="shared" si="7"/>
        <v>240</v>
      </c>
      <c r="AK5" s="20">
        <f t="shared" si="14"/>
        <v>64</v>
      </c>
      <c r="AL5" s="19">
        <f t="shared" si="15"/>
        <v>64</v>
      </c>
      <c r="AM5" s="19">
        <f t="shared" si="16"/>
        <v>84</v>
      </c>
      <c r="AN5" s="19">
        <f t="shared" si="17"/>
        <v>84</v>
      </c>
      <c r="AO5" s="19">
        <f t="shared" si="18"/>
        <v>203</v>
      </c>
      <c r="AP5" s="19">
        <f t="shared" si="19"/>
        <v>151.5</v>
      </c>
      <c r="AQ5" s="19">
        <f t="shared" si="20"/>
        <v>206</v>
      </c>
      <c r="AR5" s="19">
        <f t="shared" si="21"/>
        <v>331</v>
      </c>
      <c r="AS5" s="47">
        <f t="shared" si="22"/>
        <v>-47.10799999999999</v>
      </c>
      <c r="AT5" s="77">
        <f t="shared" si="8"/>
        <v>-100</v>
      </c>
      <c r="AU5" s="77"/>
      <c r="AV5" s="77"/>
      <c r="AW5" s="77"/>
    </row>
    <row r="6" spans="1:49">
      <c r="A6" s="30">
        <f t="shared" si="0"/>
        <v>45813</v>
      </c>
      <c r="B6" s="31">
        <v>45813</v>
      </c>
      <c r="C6" s="32" t="s">
        <v>150</v>
      </c>
      <c r="D6" s="33">
        <v>0</v>
      </c>
      <c r="E6" s="35">
        <f t="shared" si="9"/>
        <v>2.0833333333333332E-2</v>
      </c>
      <c r="F6" s="34">
        <v>30</v>
      </c>
      <c r="G6" s="33">
        <v>0.16666666666666666</v>
      </c>
      <c r="H6" s="36">
        <f t="shared" si="10"/>
        <v>210</v>
      </c>
      <c r="I6" s="37">
        <f t="shared" si="11"/>
        <v>0.13402777777777777</v>
      </c>
      <c r="J6" s="4">
        <v>5</v>
      </c>
      <c r="K6" s="7"/>
      <c r="L6" s="78">
        <v>2.6388888888888889E-2</v>
      </c>
      <c r="M6" s="76">
        <v>3.6111111111111108E-2</v>
      </c>
      <c r="N6" s="78">
        <v>0.13055555555555556</v>
      </c>
      <c r="O6" s="78">
        <v>0.13333333333333333</v>
      </c>
      <c r="P6" s="47">
        <v>2.0676800000000002</v>
      </c>
      <c r="Q6" t="s">
        <v>45</v>
      </c>
      <c r="R6" t="s">
        <v>44</v>
      </c>
      <c r="T6" t="s">
        <v>45</v>
      </c>
      <c r="U6" s="7"/>
      <c r="V6" s="13">
        <f t="shared" si="12"/>
        <v>13.999999999999995</v>
      </c>
      <c r="W6" s="13">
        <f t="shared" si="12"/>
        <v>136.00000000000003</v>
      </c>
      <c r="X6" s="40">
        <f t="shared" si="13"/>
        <v>38</v>
      </c>
      <c r="Y6" s="4">
        <f t="shared" si="13"/>
        <v>21.999999999999996</v>
      </c>
      <c r="Z6" s="4">
        <f t="shared" si="1"/>
        <v>-51.999999999999972</v>
      </c>
      <c r="AA6" s="4">
        <f t="shared" si="2"/>
        <v>-35.999999999999972</v>
      </c>
      <c r="AB6" s="4">
        <f t="shared" si="3"/>
        <v>-47.999999999999986</v>
      </c>
      <c r="AC6" s="13">
        <f t="shared" si="4"/>
        <v>4</v>
      </c>
      <c r="AD6" s="15">
        <f t="shared" si="5"/>
        <v>89.999999999999972</v>
      </c>
      <c r="AG6" s="18">
        <v>0</v>
      </c>
      <c r="AH6" s="19">
        <f t="shared" si="6"/>
        <v>30</v>
      </c>
      <c r="AI6" s="19">
        <v>210</v>
      </c>
      <c r="AJ6" s="19">
        <f t="shared" si="7"/>
        <v>240</v>
      </c>
      <c r="AK6" s="20">
        <f t="shared" si="14"/>
        <v>28</v>
      </c>
      <c r="AL6" s="19">
        <f t="shared" si="15"/>
        <v>28</v>
      </c>
      <c r="AM6" s="19">
        <f t="shared" si="16"/>
        <v>52</v>
      </c>
      <c r="AN6" s="19">
        <f t="shared" si="17"/>
        <v>52</v>
      </c>
      <c r="AO6" s="19">
        <f t="shared" si="18"/>
        <v>188.00000000000003</v>
      </c>
      <c r="AP6" s="19">
        <f t="shared" si="19"/>
        <v>144</v>
      </c>
      <c r="AQ6" s="19">
        <f t="shared" si="20"/>
        <v>192.00000000000003</v>
      </c>
      <c r="AR6" s="19">
        <f t="shared" si="21"/>
        <v>310</v>
      </c>
      <c r="AS6" s="47">
        <f t="shared" si="22"/>
        <v>-46.615999999999985</v>
      </c>
      <c r="AT6" s="77"/>
      <c r="AU6" s="77">
        <f t="shared" si="23"/>
        <v>-88</v>
      </c>
      <c r="AV6" s="77"/>
      <c r="AW6" s="77"/>
    </row>
    <row r="7" spans="1:49">
      <c r="A7" s="30">
        <f t="shared" si="0"/>
        <v>45814</v>
      </c>
      <c r="B7" s="31">
        <v>45814</v>
      </c>
      <c r="C7" s="32" t="s">
        <v>150</v>
      </c>
      <c r="D7" s="33">
        <v>0</v>
      </c>
      <c r="E7" s="35">
        <f t="shared" si="9"/>
        <v>2.0833333333333332E-2</v>
      </c>
      <c r="F7" s="34">
        <v>30</v>
      </c>
      <c r="G7" s="33">
        <v>0.16666666666666666</v>
      </c>
      <c r="H7" s="36">
        <f t="shared" si="10"/>
        <v>210</v>
      </c>
      <c r="I7" s="37">
        <f t="shared" si="11"/>
        <v>0.125</v>
      </c>
      <c r="J7" s="4">
        <v>5</v>
      </c>
      <c r="K7" s="7"/>
      <c r="L7" s="78">
        <v>2.2916666666666665E-2</v>
      </c>
      <c r="M7" s="76">
        <v>3.4722222222222224E-2</v>
      </c>
      <c r="N7" s="78">
        <v>0.12152777777777778</v>
      </c>
      <c r="O7" s="78">
        <v>0.12291666666666666</v>
      </c>
      <c r="P7" s="47">
        <v>2.09246</v>
      </c>
      <c r="Q7" t="s">
        <v>44</v>
      </c>
      <c r="R7" t="s">
        <v>45</v>
      </c>
      <c r="T7" t="s">
        <v>45</v>
      </c>
      <c r="U7" s="7"/>
      <c r="V7" s="13">
        <f t="shared" si="12"/>
        <v>17.000000000000004</v>
      </c>
      <c r="W7" s="13">
        <f t="shared" si="12"/>
        <v>125</v>
      </c>
      <c r="X7" s="40">
        <f t="shared" si="13"/>
        <v>33</v>
      </c>
      <c r="Y7" s="4">
        <f t="shared" si="13"/>
        <v>20.000000000000004</v>
      </c>
      <c r="Z7" s="4">
        <f t="shared" si="1"/>
        <v>-64.999999999999986</v>
      </c>
      <c r="AA7" s="4">
        <f t="shared" si="2"/>
        <v>-52</v>
      </c>
      <c r="AB7" s="4">
        <f t="shared" si="3"/>
        <v>-62.999999999999993</v>
      </c>
      <c r="AC7" s="13">
        <f t="shared" si="4"/>
        <v>2</v>
      </c>
      <c r="AD7" s="15">
        <f t="shared" si="5"/>
        <v>97.999999999999986</v>
      </c>
      <c r="AG7" s="18">
        <v>0</v>
      </c>
      <c r="AH7" s="19">
        <f t="shared" si="6"/>
        <v>30</v>
      </c>
      <c r="AI7" s="19">
        <v>210</v>
      </c>
      <c r="AJ7" s="19">
        <f t="shared" si="7"/>
        <v>240</v>
      </c>
      <c r="AK7" s="20">
        <f t="shared" si="14"/>
        <v>23</v>
      </c>
      <c r="AL7" s="19">
        <f t="shared" si="15"/>
        <v>23</v>
      </c>
      <c r="AM7" s="19">
        <f t="shared" si="16"/>
        <v>50</v>
      </c>
      <c r="AN7" s="19">
        <f t="shared" si="17"/>
        <v>50</v>
      </c>
      <c r="AO7" s="19">
        <f t="shared" si="18"/>
        <v>175</v>
      </c>
      <c r="AP7" s="19">
        <f t="shared" si="19"/>
        <v>137.5</v>
      </c>
      <c r="AQ7" s="19">
        <f t="shared" si="20"/>
        <v>177</v>
      </c>
      <c r="AR7" s="19">
        <f t="shared" si="21"/>
        <v>318</v>
      </c>
      <c r="AS7" s="47">
        <f t="shared" si="22"/>
        <v>-45.376999999999995</v>
      </c>
      <c r="AT7" s="77">
        <f t="shared" si="8"/>
        <v>-100</v>
      </c>
      <c r="AU7" s="77"/>
      <c r="AV7" s="77"/>
      <c r="AW7" s="77"/>
    </row>
    <row r="8" spans="1:49">
      <c r="A8" s="30">
        <f t="shared" si="0"/>
        <v>45815</v>
      </c>
      <c r="B8" s="31">
        <v>45815</v>
      </c>
      <c r="C8" s="32" t="s">
        <v>150</v>
      </c>
      <c r="D8" s="33">
        <v>0</v>
      </c>
      <c r="E8" s="35">
        <f t="shared" si="9"/>
        <v>2.0833333333333332E-2</v>
      </c>
      <c r="F8" s="34">
        <v>30</v>
      </c>
      <c r="G8" s="33">
        <v>0.16666666666666666</v>
      </c>
      <c r="H8" s="36">
        <f t="shared" si="10"/>
        <v>210</v>
      </c>
      <c r="I8" s="37">
        <f t="shared" si="11"/>
        <v>0.13055555555555554</v>
      </c>
      <c r="J8" s="4">
        <v>5</v>
      </c>
      <c r="K8" s="7"/>
      <c r="L8" s="78">
        <v>2.013888888888889E-2</v>
      </c>
      <c r="M8" s="76">
        <v>2.8472222222222222E-2</v>
      </c>
      <c r="N8" s="78">
        <v>0.12708333333333333</v>
      </c>
      <c r="O8" s="78">
        <v>0.12847222222222221</v>
      </c>
      <c r="P8" s="47">
        <v>2.09396</v>
      </c>
      <c r="Q8" t="s">
        <v>44</v>
      </c>
      <c r="R8" t="s">
        <v>45</v>
      </c>
      <c r="T8" t="s">
        <v>45</v>
      </c>
      <c r="U8" s="7"/>
      <c r="V8" s="13">
        <f t="shared" si="12"/>
        <v>11.999999999999996</v>
      </c>
      <c r="W8" s="13">
        <f t="shared" si="12"/>
        <v>142</v>
      </c>
      <c r="X8" s="40">
        <f t="shared" si="13"/>
        <v>29.000000000000004</v>
      </c>
      <c r="Y8" s="4">
        <f t="shared" si="13"/>
        <v>11</v>
      </c>
      <c r="Z8" s="4">
        <f t="shared" si="1"/>
        <v>-57</v>
      </c>
      <c r="AA8" s="4">
        <f t="shared" si="2"/>
        <v>-39</v>
      </c>
      <c r="AB8" s="4">
        <f t="shared" si="3"/>
        <v>-55.000000000000007</v>
      </c>
      <c r="AC8" s="13">
        <f t="shared" si="4"/>
        <v>2</v>
      </c>
      <c r="AD8" s="15">
        <f t="shared" si="5"/>
        <v>86</v>
      </c>
      <c r="AG8" s="18">
        <v>0</v>
      </c>
      <c r="AH8" s="19">
        <f t="shared" si="6"/>
        <v>30</v>
      </c>
      <c r="AI8" s="19">
        <v>210</v>
      </c>
      <c r="AJ8" s="19">
        <f t="shared" si="7"/>
        <v>240</v>
      </c>
      <c r="AK8" s="20">
        <f t="shared" si="14"/>
        <v>19.000000000000004</v>
      </c>
      <c r="AL8" s="19">
        <f t="shared" si="15"/>
        <v>19.000000000000004</v>
      </c>
      <c r="AM8" s="19">
        <f t="shared" si="16"/>
        <v>41</v>
      </c>
      <c r="AN8" s="19">
        <f t="shared" si="17"/>
        <v>41</v>
      </c>
      <c r="AO8" s="19">
        <f t="shared" si="18"/>
        <v>183</v>
      </c>
      <c r="AP8" s="19">
        <f t="shared" si="19"/>
        <v>141.5</v>
      </c>
      <c r="AQ8" s="19">
        <f t="shared" si="20"/>
        <v>185</v>
      </c>
      <c r="AR8" s="19">
        <f t="shared" si="21"/>
        <v>306</v>
      </c>
      <c r="AS8" s="47">
        <f t="shared" si="22"/>
        <v>-45.301999999999992</v>
      </c>
      <c r="AT8" s="77">
        <f t="shared" si="8"/>
        <v>-100</v>
      </c>
      <c r="AU8" s="77"/>
      <c r="AV8" s="77"/>
      <c r="AW8" s="77"/>
    </row>
    <row r="9" spans="1:49">
      <c r="A9" s="30">
        <f t="shared" si="0"/>
        <v>45816</v>
      </c>
      <c r="B9" s="31">
        <v>45816</v>
      </c>
      <c r="C9" s="32" t="s">
        <v>150</v>
      </c>
      <c r="D9" s="33">
        <v>0</v>
      </c>
      <c r="E9" s="35">
        <f t="shared" si="9"/>
        <v>2.0833333333333332E-2</v>
      </c>
      <c r="F9" s="34">
        <v>30</v>
      </c>
      <c r="G9" s="33">
        <v>0.16666666666666666</v>
      </c>
      <c r="H9" s="36">
        <f t="shared" si="10"/>
        <v>210</v>
      </c>
      <c r="I9" s="37">
        <f t="shared" si="11"/>
        <v>0.13194444444444442</v>
      </c>
      <c r="J9" s="4">
        <v>5</v>
      </c>
      <c r="K9" s="7"/>
      <c r="L9" s="78">
        <v>3.4027777777777775E-2</v>
      </c>
      <c r="M9" s="76">
        <v>4.2361111111111113E-2</v>
      </c>
      <c r="N9" s="78">
        <v>0.12847222222222221</v>
      </c>
      <c r="O9" s="78">
        <v>0.12986111111111112</v>
      </c>
      <c r="P9" s="47">
        <v>2.1026199999999999</v>
      </c>
      <c r="Q9" t="s">
        <v>44</v>
      </c>
      <c r="R9" t="s">
        <v>45</v>
      </c>
      <c r="T9" t="s">
        <v>45</v>
      </c>
      <c r="U9" s="7"/>
      <c r="V9" s="13">
        <f t="shared" si="12"/>
        <v>12.000000000000007</v>
      </c>
      <c r="W9" s="13">
        <f t="shared" si="12"/>
        <v>123.99999999999999</v>
      </c>
      <c r="X9" s="40">
        <f t="shared" si="13"/>
        <v>48.999999999999993</v>
      </c>
      <c r="Y9" s="4">
        <f t="shared" si="13"/>
        <v>31.000000000000004</v>
      </c>
      <c r="Z9" s="4">
        <f t="shared" si="1"/>
        <v>-55.000000000000007</v>
      </c>
      <c r="AA9" s="4">
        <f t="shared" si="2"/>
        <v>-37.000000000000014</v>
      </c>
      <c r="AB9" s="4">
        <f t="shared" si="3"/>
        <v>-52.999999999999972</v>
      </c>
      <c r="AC9" s="13">
        <f t="shared" si="4"/>
        <v>2</v>
      </c>
      <c r="AD9" s="15">
        <f t="shared" si="5"/>
        <v>104</v>
      </c>
      <c r="AG9" s="18">
        <v>0</v>
      </c>
      <c r="AH9" s="19">
        <f t="shared" si="6"/>
        <v>30</v>
      </c>
      <c r="AI9" s="19">
        <v>210</v>
      </c>
      <c r="AJ9" s="19">
        <f t="shared" si="7"/>
        <v>240</v>
      </c>
      <c r="AK9" s="20">
        <f t="shared" si="14"/>
        <v>38.999999999999993</v>
      </c>
      <c r="AL9" s="19">
        <f t="shared" si="15"/>
        <v>38.999999999999993</v>
      </c>
      <c r="AM9" s="19">
        <f t="shared" si="16"/>
        <v>61</v>
      </c>
      <c r="AN9" s="19">
        <f t="shared" si="17"/>
        <v>61</v>
      </c>
      <c r="AO9" s="19">
        <f t="shared" si="18"/>
        <v>185</v>
      </c>
      <c r="AP9" s="19">
        <f t="shared" si="19"/>
        <v>142.5</v>
      </c>
      <c r="AQ9" s="19">
        <f t="shared" si="20"/>
        <v>187</v>
      </c>
      <c r="AR9" s="19">
        <f t="shared" si="21"/>
        <v>324</v>
      </c>
      <c r="AS9" s="47">
        <f t="shared" si="22"/>
        <v>-44.869</v>
      </c>
      <c r="AT9" s="77">
        <f t="shared" si="8"/>
        <v>-100</v>
      </c>
      <c r="AU9" s="77"/>
      <c r="AV9" s="77"/>
      <c r="AW9" s="77"/>
    </row>
    <row r="10" spans="1:49">
      <c r="A10" s="30">
        <f t="shared" si="0"/>
        <v>45817</v>
      </c>
      <c r="B10" s="31">
        <v>45817</v>
      </c>
      <c r="C10" s="32" t="s">
        <v>150</v>
      </c>
      <c r="D10" s="33">
        <v>0</v>
      </c>
      <c r="E10" s="35">
        <f t="shared" si="9"/>
        <v>2.0833333333333332E-2</v>
      </c>
      <c r="F10" s="34">
        <v>30</v>
      </c>
      <c r="G10" s="33">
        <v>0.16666666666666666</v>
      </c>
      <c r="H10" s="36">
        <f t="shared" si="10"/>
        <v>210</v>
      </c>
      <c r="I10" s="37">
        <f t="shared" si="11"/>
        <v>0.14861111111111111</v>
      </c>
      <c r="J10" s="4">
        <v>5</v>
      </c>
      <c r="K10" s="7"/>
      <c r="L10" s="78">
        <v>5.7638888888888892E-2</v>
      </c>
      <c r="M10" s="76">
        <v>6.458333333333334E-2</v>
      </c>
      <c r="N10" s="78">
        <v>0.1451388888888889</v>
      </c>
      <c r="O10" s="78">
        <v>0.14791666666666667</v>
      </c>
      <c r="P10" s="47">
        <v>2.1150600000000002</v>
      </c>
      <c r="Q10" t="s">
        <v>44</v>
      </c>
      <c r="R10" t="s">
        <v>44</v>
      </c>
      <c r="T10" t="s">
        <v>45</v>
      </c>
      <c r="U10" s="7"/>
      <c r="V10" s="13">
        <f t="shared" si="12"/>
        <v>10.000000000000004</v>
      </c>
      <c r="W10" s="13">
        <f t="shared" si="12"/>
        <v>116.00000000000001</v>
      </c>
      <c r="X10" s="40">
        <f t="shared" si="13"/>
        <v>83</v>
      </c>
      <c r="Y10" s="4">
        <f t="shared" si="13"/>
        <v>63.000000000000014</v>
      </c>
      <c r="Z10" s="4">
        <f t="shared" si="1"/>
        <v>-30.999999999999972</v>
      </c>
      <c r="AA10" s="4">
        <f t="shared" si="2"/>
        <v>-10.999999999999986</v>
      </c>
      <c r="AB10" s="4">
        <f t="shared" si="3"/>
        <v>-26.999999999999986</v>
      </c>
      <c r="AC10" s="13">
        <f t="shared" si="4"/>
        <v>4</v>
      </c>
      <c r="AD10" s="15">
        <f t="shared" si="5"/>
        <v>113.99999999999997</v>
      </c>
      <c r="AG10" s="18">
        <v>0</v>
      </c>
      <c r="AH10" s="19">
        <f t="shared" si="6"/>
        <v>30</v>
      </c>
      <c r="AI10" s="19">
        <v>210</v>
      </c>
      <c r="AJ10" s="19">
        <f t="shared" si="7"/>
        <v>240</v>
      </c>
      <c r="AK10" s="20">
        <f t="shared" si="14"/>
        <v>73</v>
      </c>
      <c r="AL10" s="19">
        <f t="shared" si="15"/>
        <v>73</v>
      </c>
      <c r="AM10" s="19">
        <f t="shared" si="16"/>
        <v>93.000000000000014</v>
      </c>
      <c r="AN10" s="19">
        <f t="shared" si="17"/>
        <v>93.000000000000014</v>
      </c>
      <c r="AO10" s="19">
        <f t="shared" si="18"/>
        <v>209.00000000000003</v>
      </c>
      <c r="AP10" s="19">
        <f t="shared" si="19"/>
        <v>154.5</v>
      </c>
      <c r="AQ10" s="19">
        <f t="shared" si="20"/>
        <v>213.00000000000003</v>
      </c>
      <c r="AR10" s="19">
        <f t="shared" si="21"/>
        <v>334</v>
      </c>
      <c r="AS10" s="47">
        <f t="shared" si="22"/>
        <v>-44.246999999999986</v>
      </c>
      <c r="AT10" s="77">
        <f t="shared" si="8"/>
        <v>-100</v>
      </c>
      <c r="AU10" s="77">
        <f t="shared" ref="AU10:AU28" si="24">IF(R10="Yes",-88,0)</f>
        <v>-88</v>
      </c>
      <c r="AV10" s="77"/>
      <c r="AW10" s="77"/>
    </row>
    <row r="11" spans="1:49">
      <c r="A11" s="30">
        <f t="shared" si="0"/>
        <v>45818</v>
      </c>
      <c r="B11" s="31">
        <v>45818</v>
      </c>
      <c r="C11" s="32" t="s">
        <v>150</v>
      </c>
      <c r="D11" s="33">
        <v>0</v>
      </c>
      <c r="E11" s="35">
        <f t="shared" si="9"/>
        <v>2.0833333333333332E-2</v>
      </c>
      <c r="F11" s="34">
        <v>30</v>
      </c>
      <c r="G11" s="33">
        <v>0.16666666666666666</v>
      </c>
      <c r="H11" s="36">
        <f t="shared" si="10"/>
        <v>210</v>
      </c>
      <c r="I11" s="37">
        <f t="shared" si="11"/>
        <v>0.15763888888888888</v>
      </c>
      <c r="J11" s="4">
        <v>5</v>
      </c>
      <c r="K11" s="7"/>
      <c r="L11" s="78">
        <v>2.5694444444444443E-2</v>
      </c>
      <c r="M11" s="76">
        <v>5.6250000000000001E-2</v>
      </c>
      <c r="N11" s="78">
        <v>0.15416666666666667</v>
      </c>
      <c r="O11" s="78">
        <v>0.15555555555555556</v>
      </c>
      <c r="P11" s="47">
        <v>2.0914600000000001</v>
      </c>
      <c r="Q11" t="s">
        <v>45</v>
      </c>
      <c r="R11" t="s">
        <v>45</v>
      </c>
      <c r="T11" t="s">
        <v>45</v>
      </c>
      <c r="U11" s="7"/>
      <c r="V11" s="13">
        <f t="shared" si="12"/>
        <v>44</v>
      </c>
      <c r="W11" s="13">
        <f t="shared" si="12"/>
        <v>141.00000000000003</v>
      </c>
      <c r="X11" s="40">
        <f t="shared" si="13"/>
        <v>37</v>
      </c>
      <c r="Y11" s="4">
        <f t="shared" si="13"/>
        <v>51</v>
      </c>
      <c r="Z11" s="4">
        <f t="shared" si="1"/>
        <v>-17.999999999999975</v>
      </c>
      <c r="AA11" s="4">
        <f t="shared" si="2"/>
        <v>-31.999999999999972</v>
      </c>
      <c r="AB11" s="4">
        <f t="shared" si="3"/>
        <v>-15.999999999999982</v>
      </c>
      <c r="AC11" s="13">
        <f t="shared" si="4"/>
        <v>2</v>
      </c>
      <c r="AD11" s="15">
        <f t="shared" si="5"/>
        <v>54.999999999999972</v>
      </c>
      <c r="AG11" s="18">
        <v>0</v>
      </c>
      <c r="AH11" s="19">
        <f t="shared" si="6"/>
        <v>30</v>
      </c>
      <c r="AI11" s="19">
        <v>210</v>
      </c>
      <c r="AJ11" s="19">
        <f t="shared" si="7"/>
        <v>240</v>
      </c>
      <c r="AK11" s="20">
        <f t="shared" si="14"/>
        <v>27</v>
      </c>
      <c r="AL11" s="19">
        <f t="shared" si="15"/>
        <v>27</v>
      </c>
      <c r="AM11" s="19">
        <f t="shared" si="16"/>
        <v>81</v>
      </c>
      <c r="AN11" s="19">
        <f t="shared" si="17"/>
        <v>81</v>
      </c>
      <c r="AO11" s="19">
        <f t="shared" si="18"/>
        <v>222.00000000000003</v>
      </c>
      <c r="AP11" s="19">
        <f t="shared" si="19"/>
        <v>161</v>
      </c>
      <c r="AQ11" s="19">
        <f t="shared" si="20"/>
        <v>224.00000000000003</v>
      </c>
      <c r="AR11" s="19">
        <f t="shared" si="21"/>
        <v>275</v>
      </c>
      <c r="AS11" s="47">
        <f t="shared" si="22"/>
        <v>-45.426999999999992</v>
      </c>
      <c r="AT11" s="77"/>
      <c r="AU11" s="77"/>
      <c r="AV11" s="77"/>
      <c r="AW11" s="77"/>
    </row>
    <row r="12" spans="1:49">
      <c r="A12" s="30">
        <f t="shared" si="0"/>
        <v>45819</v>
      </c>
      <c r="B12" s="31">
        <v>45819</v>
      </c>
      <c r="C12" s="32" t="s">
        <v>150</v>
      </c>
      <c r="D12" s="33">
        <v>0</v>
      </c>
      <c r="E12" s="35">
        <f t="shared" si="9"/>
        <v>2.0833333333333332E-2</v>
      </c>
      <c r="F12" s="34">
        <v>30</v>
      </c>
      <c r="G12" s="33">
        <v>0.16666666666666666</v>
      </c>
      <c r="H12" s="36">
        <f t="shared" si="10"/>
        <v>210</v>
      </c>
      <c r="I12" s="37">
        <f t="shared" si="11"/>
        <v>0.14652777777777776</v>
      </c>
      <c r="J12" s="4">
        <v>5</v>
      </c>
      <c r="K12" s="7"/>
      <c r="L12" s="78">
        <v>2.6388888888888889E-2</v>
      </c>
      <c r="M12" s="76">
        <v>3.7499999999999999E-2</v>
      </c>
      <c r="N12" s="78">
        <v>0.14305555555555555</v>
      </c>
      <c r="O12" s="78">
        <v>0.1451388888888889</v>
      </c>
      <c r="P12" s="47">
        <v>2.0906600000000002</v>
      </c>
      <c r="Q12" t="s">
        <v>45</v>
      </c>
      <c r="R12" t="s">
        <v>44</v>
      </c>
      <c r="T12" t="s">
        <v>45</v>
      </c>
      <c r="U12" s="7"/>
      <c r="V12" s="13">
        <f t="shared" si="12"/>
        <v>15.999999999999998</v>
      </c>
      <c r="W12" s="13">
        <f t="shared" si="12"/>
        <v>151.99999999999997</v>
      </c>
      <c r="X12" s="40">
        <f t="shared" si="13"/>
        <v>38</v>
      </c>
      <c r="Y12" s="4">
        <f t="shared" si="13"/>
        <v>24</v>
      </c>
      <c r="Z12" s="4">
        <f t="shared" si="1"/>
        <v>-34</v>
      </c>
      <c r="AA12" s="4">
        <f t="shared" si="2"/>
        <v>-20.000000000000028</v>
      </c>
      <c r="AB12" s="4">
        <f t="shared" si="3"/>
        <v>-30.999999999999972</v>
      </c>
      <c r="AC12" s="13">
        <f t="shared" si="4"/>
        <v>3</v>
      </c>
      <c r="AD12" s="15">
        <f t="shared" si="5"/>
        <v>72</v>
      </c>
      <c r="AG12" s="18">
        <v>0</v>
      </c>
      <c r="AH12" s="19">
        <f t="shared" si="6"/>
        <v>30</v>
      </c>
      <c r="AI12" s="19">
        <v>210</v>
      </c>
      <c r="AJ12" s="19">
        <f t="shared" si="7"/>
        <v>240</v>
      </c>
      <c r="AK12" s="20">
        <f t="shared" si="14"/>
        <v>28</v>
      </c>
      <c r="AL12" s="19">
        <f t="shared" si="15"/>
        <v>28</v>
      </c>
      <c r="AM12" s="19">
        <f t="shared" si="16"/>
        <v>54</v>
      </c>
      <c r="AN12" s="19">
        <f t="shared" si="17"/>
        <v>54</v>
      </c>
      <c r="AO12" s="19">
        <f t="shared" si="18"/>
        <v>205.99999999999997</v>
      </c>
      <c r="AP12" s="19">
        <f t="shared" si="19"/>
        <v>153</v>
      </c>
      <c r="AQ12" s="19">
        <f t="shared" si="20"/>
        <v>208.99999999999997</v>
      </c>
      <c r="AR12" s="19">
        <f t="shared" si="21"/>
        <v>292</v>
      </c>
      <c r="AS12" s="47">
        <f t="shared" si="22"/>
        <v>-45.466999999999985</v>
      </c>
      <c r="AT12" s="77"/>
      <c r="AU12" s="77">
        <f t="shared" si="24"/>
        <v>-88</v>
      </c>
      <c r="AV12" s="77"/>
      <c r="AW12" s="77"/>
    </row>
    <row r="13" spans="1:49">
      <c r="A13" s="30">
        <f t="shared" si="0"/>
        <v>45820</v>
      </c>
      <c r="B13" s="31">
        <v>45820</v>
      </c>
      <c r="C13" s="32" t="s">
        <v>150</v>
      </c>
      <c r="D13" s="33">
        <v>0</v>
      </c>
      <c r="E13" s="35">
        <f t="shared" si="9"/>
        <v>2.0833333333333332E-2</v>
      </c>
      <c r="F13" s="34">
        <v>30</v>
      </c>
      <c r="G13" s="33">
        <v>0.16666666666666666</v>
      </c>
      <c r="H13" s="36">
        <f t="shared" si="10"/>
        <v>210</v>
      </c>
      <c r="I13" s="37">
        <f t="shared" si="11"/>
        <v>0.1361111111111111</v>
      </c>
      <c r="J13" s="4">
        <v>5</v>
      </c>
      <c r="K13" s="7"/>
      <c r="L13" s="78">
        <v>3.6111111111111108E-2</v>
      </c>
      <c r="M13" s="76">
        <v>4.7222222222222221E-2</v>
      </c>
      <c r="N13" s="78">
        <v>0.13263888888888889</v>
      </c>
      <c r="O13" s="78">
        <v>0.13472222222222222</v>
      </c>
      <c r="P13" s="47">
        <v>2.1002999999999998</v>
      </c>
      <c r="Q13" t="s">
        <v>45</v>
      </c>
      <c r="R13" t="s">
        <v>44</v>
      </c>
      <c r="T13" t="s">
        <v>45</v>
      </c>
      <c r="U13" s="7"/>
      <c r="V13" s="13">
        <f t="shared" si="12"/>
        <v>16.000000000000004</v>
      </c>
      <c r="W13" s="13">
        <f t="shared" si="12"/>
        <v>123</v>
      </c>
      <c r="X13" s="40">
        <f t="shared" si="13"/>
        <v>51.999999999999993</v>
      </c>
      <c r="Y13" s="4">
        <f t="shared" si="13"/>
        <v>38</v>
      </c>
      <c r="Z13" s="4">
        <f t="shared" si="1"/>
        <v>-48.999999999999986</v>
      </c>
      <c r="AA13" s="4">
        <f t="shared" si="2"/>
        <v>-35</v>
      </c>
      <c r="AB13" s="4">
        <f t="shared" si="3"/>
        <v>-46</v>
      </c>
      <c r="AC13" s="13">
        <f t="shared" si="4"/>
        <v>3</v>
      </c>
      <c r="AD13" s="15">
        <f t="shared" si="5"/>
        <v>100.99999999999997</v>
      </c>
      <c r="AG13" s="18">
        <v>0</v>
      </c>
      <c r="AH13" s="19">
        <f t="shared" si="6"/>
        <v>30</v>
      </c>
      <c r="AI13" s="19">
        <v>210</v>
      </c>
      <c r="AJ13" s="19">
        <f t="shared" si="7"/>
        <v>240</v>
      </c>
      <c r="AK13" s="20">
        <f t="shared" si="14"/>
        <v>41.999999999999993</v>
      </c>
      <c r="AL13" s="19">
        <f t="shared" si="15"/>
        <v>41.999999999999993</v>
      </c>
      <c r="AM13" s="19">
        <f t="shared" si="16"/>
        <v>68</v>
      </c>
      <c r="AN13" s="19">
        <f t="shared" si="17"/>
        <v>68</v>
      </c>
      <c r="AO13" s="19">
        <f t="shared" si="18"/>
        <v>191</v>
      </c>
      <c r="AP13" s="19">
        <f t="shared" si="19"/>
        <v>145.5</v>
      </c>
      <c r="AQ13" s="19">
        <f t="shared" si="20"/>
        <v>194</v>
      </c>
      <c r="AR13" s="19">
        <f t="shared" si="21"/>
        <v>321</v>
      </c>
      <c r="AS13" s="47">
        <f t="shared" si="22"/>
        <v>-44.985000000000014</v>
      </c>
      <c r="AT13" s="77"/>
      <c r="AU13" s="77">
        <f t="shared" si="24"/>
        <v>-88</v>
      </c>
      <c r="AV13" s="77"/>
      <c r="AW13" s="77"/>
    </row>
    <row r="14" spans="1:49">
      <c r="A14" s="30">
        <f t="shared" si="0"/>
        <v>45821</v>
      </c>
      <c r="B14" s="31">
        <v>45821</v>
      </c>
      <c r="C14" s="32" t="s">
        <v>150</v>
      </c>
      <c r="D14" s="33">
        <v>0</v>
      </c>
      <c r="E14" s="35">
        <f t="shared" si="9"/>
        <v>2.0833333333333332E-2</v>
      </c>
      <c r="F14" s="34">
        <v>30</v>
      </c>
      <c r="G14" s="33">
        <v>0.16666666666666666</v>
      </c>
      <c r="H14" s="36">
        <f t="shared" si="10"/>
        <v>210</v>
      </c>
      <c r="I14" s="37">
        <f t="shared" si="11"/>
        <v>0.15625</v>
      </c>
      <c r="J14" s="4">
        <v>5</v>
      </c>
      <c r="K14" s="7"/>
      <c r="L14" s="78">
        <v>6.1111111111111109E-2</v>
      </c>
      <c r="M14" s="76">
        <v>6.9444444444444448E-2</v>
      </c>
      <c r="N14" s="78">
        <v>0.15277777777777779</v>
      </c>
      <c r="O14" s="78">
        <v>0.15416666666666667</v>
      </c>
      <c r="P14" s="47">
        <v>2.1235599999999999</v>
      </c>
      <c r="Q14" t="s">
        <v>44</v>
      </c>
      <c r="R14" t="s">
        <v>45</v>
      </c>
      <c r="T14" t="s">
        <v>45</v>
      </c>
      <c r="U14" s="7"/>
      <c r="V14" s="13">
        <f t="shared" si="12"/>
        <v>12.000000000000007</v>
      </c>
      <c r="W14" s="13">
        <f t="shared" si="12"/>
        <v>120.00000000000001</v>
      </c>
      <c r="X14" s="40">
        <f t="shared" si="13"/>
        <v>88</v>
      </c>
      <c r="Y14" s="4">
        <f t="shared" si="13"/>
        <v>70.000000000000014</v>
      </c>
      <c r="Z14" s="4">
        <f t="shared" si="1"/>
        <v>-19.999999999999968</v>
      </c>
      <c r="AA14" s="4">
        <f t="shared" si="2"/>
        <v>-1.9999999999999858</v>
      </c>
      <c r="AB14" s="4">
        <f t="shared" si="3"/>
        <v>-17.999999999999975</v>
      </c>
      <c r="AC14" s="13">
        <f t="shared" si="4"/>
        <v>2</v>
      </c>
      <c r="AD14" s="15">
        <f t="shared" si="5"/>
        <v>107.99999999999997</v>
      </c>
      <c r="AG14" s="18">
        <v>0</v>
      </c>
      <c r="AH14" s="19">
        <f t="shared" si="6"/>
        <v>30</v>
      </c>
      <c r="AI14" s="19">
        <v>210</v>
      </c>
      <c r="AJ14" s="19">
        <f t="shared" si="7"/>
        <v>240</v>
      </c>
      <c r="AK14" s="20">
        <f t="shared" si="14"/>
        <v>78</v>
      </c>
      <c r="AL14" s="19">
        <f t="shared" si="15"/>
        <v>78</v>
      </c>
      <c r="AM14" s="19">
        <f t="shared" si="16"/>
        <v>100.00000000000001</v>
      </c>
      <c r="AN14" s="19">
        <f t="shared" si="17"/>
        <v>100.00000000000001</v>
      </c>
      <c r="AO14" s="19">
        <f t="shared" si="18"/>
        <v>220.00000000000003</v>
      </c>
      <c r="AP14" s="19">
        <f t="shared" si="19"/>
        <v>160</v>
      </c>
      <c r="AQ14" s="19">
        <f t="shared" si="20"/>
        <v>222.00000000000003</v>
      </c>
      <c r="AR14" s="19">
        <f t="shared" si="21"/>
        <v>328</v>
      </c>
      <c r="AS14" s="47">
        <f t="shared" si="22"/>
        <v>-43.822000000000003</v>
      </c>
      <c r="AT14" s="77">
        <f t="shared" si="8"/>
        <v>-100</v>
      </c>
      <c r="AU14" s="77"/>
      <c r="AV14" s="77"/>
      <c r="AW14" s="77"/>
    </row>
    <row r="15" spans="1:49">
      <c r="A15" s="30">
        <f t="shared" si="0"/>
        <v>45822</v>
      </c>
      <c r="B15" s="31">
        <v>45822</v>
      </c>
      <c r="C15" s="32" t="s">
        <v>150</v>
      </c>
      <c r="D15" s="33">
        <v>0</v>
      </c>
      <c r="E15" s="35">
        <f t="shared" si="9"/>
        <v>2.0833333333333332E-2</v>
      </c>
      <c r="F15" s="34">
        <v>30</v>
      </c>
      <c r="G15" s="33">
        <v>0.16666666666666666</v>
      </c>
      <c r="H15" s="36">
        <f t="shared" si="10"/>
        <v>210</v>
      </c>
      <c r="I15" s="37">
        <f t="shared" si="11"/>
        <v>0.17013888888888887</v>
      </c>
      <c r="J15" s="4">
        <v>5</v>
      </c>
      <c r="K15" s="7"/>
      <c r="L15" s="78">
        <v>4.027777777777778E-2</v>
      </c>
      <c r="M15" s="76">
        <v>4.8611111111111112E-2</v>
      </c>
      <c r="N15" s="78">
        <v>0.16666666666666666</v>
      </c>
      <c r="O15" s="78">
        <v>0.16805555555555557</v>
      </c>
      <c r="P15" s="47">
        <v>2.0949200000000001</v>
      </c>
      <c r="Q15" t="s">
        <v>44</v>
      </c>
      <c r="R15" t="s">
        <v>45</v>
      </c>
      <c r="T15" t="s">
        <v>45</v>
      </c>
      <c r="U15" s="7"/>
      <c r="V15" s="13">
        <f t="shared" si="12"/>
        <v>11.999999999999996</v>
      </c>
      <c r="W15" s="13">
        <f t="shared" si="12"/>
        <v>170</v>
      </c>
      <c r="X15" s="40">
        <f t="shared" si="13"/>
        <v>58.000000000000007</v>
      </c>
      <c r="Y15" s="4">
        <f t="shared" si="13"/>
        <v>40</v>
      </c>
      <c r="Z15" s="4">
        <f t="shared" si="1"/>
        <v>0</v>
      </c>
      <c r="AA15" s="4">
        <f t="shared" si="2"/>
        <v>18</v>
      </c>
      <c r="AB15" s="4">
        <f t="shared" si="3"/>
        <v>2.0000000000000329</v>
      </c>
      <c r="AC15" s="13">
        <f t="shared" si="4"/>
        <v>2</v>
      </c>
      <c r="AD15" s="15">
        <f t="shared" si="5"/>
        <v>58.000000000000007</v>
      </c>
      <c r="AG15" s="18">
        <v>0</v>
      </c>
      <c r="AH15" s="19">
        <f t="shared" si="6"/>
        <v>30</v>
      </c>
      <c r="AI15" s="19">
        <v>210</v>
      </c>
      <c r="AJ15" s="19">
        <f t="shared" si="7"/>
        <v>240</v>
      </c>
      <c r="AK15" s="20">
        <f t="shared" si="14"/>
        <v>48.000000000000007</v>
      </c>
      <c r="AL15" s="19">
        <f t="shared" si="15"/>
        <v>48.000000000000007</v>
      </c>
      <c r="AM15" s="19">
        <f t="shared" si="16"/>
        <v>70</v>
      </c>
      <c r="AN15" s="19">
        <f t="shared" si="17"/>
        <v>70</v>
      </c>
      <c r="AO15" s="19">
        <f t="shared" si="18"/>
        <v>240</v>
      </c>
      <c r="AP15" s="19">
        <f t="shared" si="19"/>
        <v>170</v>
      </c>
      <c r="AQ15" s="19">
        <f t="shared" si="20"/>
        <v>242</v>
      </c>
      <c r="AR15" s="19">
        <f t="shared" si="21"/>
        <v>278</v>
      </c>
      <c r="AS15" s="47">
        <f t="shared" si="22"/>
        <v>-45.253999999999991</v>
      </c>
      <c r="AT15" s="77">
        <f t="shared" si="8"/>
        <v>-100</v>
      </c>
      <c r="AU15" s="77"/>
      <c r="AV15" s="77"/>
      <c r="AW15" s="77"/>
    </row>
    <row r="16" spans="1:49">
      <c r="A16" s="30">
        <f t="shared" si="0"/>
        <v>45823</v>
      </c>
      <c r="B16" s="31">
        <v>45823</v>
      </c>
      <c r="C16" s="32" t="s">
        <v>150</v>
      </c>
      <c r="D16" s="33">
        <v>0</v>
      </c>
      <c r="E16" s="35">
        <f t="shared" si="9"/>
        <v>2.0833333333333332E-2</v>
      </c>
      <c r="F16" s="34">
        <v>30</v>
      </c>
      <c r="G16" s="33">
        <v>0.16666666666666666</v>
      </c>
      <c r="H16" s="36">
        <f t="shared" si="10"/>
        <v>210</v>
      </c>
      <c r="I16" s="37">
        <f t="shared" si="11"/>
        <v>0.14791666666666664</v>
      </c>
      <c r="J16" s="4">
        <v>5</v>
      </c>
      <c r="K16" s="7"/>
      <c r="L16" s="78">
        <v>3.888888888888889E-2</v>
      </c>
      <c r="M16" s="76">
        <v>4.8611111111111112E-2</v>
      </c>
      <c r="N16" s="78">
        <v>0.14444444444444443</v>
      </c>
      <c r="O16" s="78">
        <v>0.14583333333333334</v>
      </c>
      <c r="P16" s="47">
        <v>2.1036600000000001</v>
      </c>
      <c r="Q16" t="s">
        <v>44</v>
      </c>
      <c r="R16" t="s">
        <v>45</v>
      </c>
      <c r="T16" t="s">
        <v>45</v>
      </c>
      <c r="U16" s="7"/>
      <c r="V16" s="13">
        <f t="shared" si="12"/>
        <v>14</v>
      </c>
      <c r="W16" s="13">
        <f t="shared" si="12"/>
        <v>138</v>
      </c>
      <c r="X16" s="40">
        <f t="shared" si="13"/>
        <v>56</v>
      </c>
      <c r="Y16" s="4">
        <f t="shared" si="13"/>
        <v>40</v>
      </c>
      <c r="Z16" s="4">
        <f t="shared" si="1"/>
        <v>-32.000000000000007</v>
      </c>
      <c r="AA16" s="4">
        <f t="shared" si="2"/>
        <v>-16</v>
      </c>
      <c r="AB16" s="4">
        <f t="shared" si="3"/>
        <v>-29.999999999999972</v>
      </c>
      <c r="AC16" s="13">
        <f t="shared" si="4"/>
        <v>2</v>
      </c>
      <c r="AD16" s="15">
        <f t="shared" si="5"/>
        <v>88</v>
      </c>
      <c r="AG16" s="18">
        <v>0</v>
      </c>
      <c r="AH16" s="19">
        <f t="shared" si="6"/>
        <v>30</v>
      </c>
      <c r="AI16" s="19">
        <v>210</v>
      </c>
      <c r="AJ16" s="19">
        <f t="shared" si="7"/>
        <v>240</v>
      </c>
      <c r="AK16" s="20">
        <f t="shared" si="14"/>
        <v>46</v>
      </c>
      <c r="AL16" s="19">
        <f t="shared" si="15"/>
        <v>46</v>
      </c>
      <c r="AM16" s="19">
        <f t="shared" si="16"/>
        <v>70</v>
      </c>
      <c r="AN16" s="19">
        <f t="shared" si="17"/>
        <v>70</v>
      </c>
      <c r="AO16" s="19">
        <f>AN16+W16</f>
        <v>208</v>
      </c>
      <c r="AP16" s="19">
        <f t="shared" si="19"/>
        <v>154</v>
      </c>
      <c r="AQ16" s="19">
        <f t="shared" si="20"/>
        <v>210</v>
      </c>
      <c r="AR16" s="19">
        <f t="shared" si="21"/>
        <v>308</v>
      </c>
      <c r="AS16" s="47">
        <f t="shared" si="22"/>
        <v>-44.816999999999993</v>
      </c>
      <c r="AT16" s="77">
        <f t="shared" si="8"/>
        <v>-100</v>
      </c>
      <c r="AU16" s="77"/>
      <c r="AV16" s="77"/>
      <c r="AW16" s="77"/>
    </row>
    <row r="17" spans="1:49">
      <c r="A17" s="30">
        <f t="shared" si="0"/>
        <v>45824</v>
      </c>
      <c r="B17" s="31">
        <v>45824</v>
      </c>
      <c r="C17" s="32" t="s">
        <v>150</v>
      </c>
      <c r="D17" s="33">
        <v>0</v>
      </c>
      <c r="E17" s="35">
        <f t="shared" si="9"/>
        <v>2.0833333333333332E-2</v>
      </c>
      <c r="F17" s="34">
        <v>30</v>
      </c>
      <c r="G17" s="33">
        <v>0.16666666666666666</v>
      </c>
      <c r="H17" s="36">
        <f t="shared" si="10"/>
        <v>210</v>
      </c>
      <c r="I17" s="37">
        <f t="shared" si="11"/>
        <v>0.13749999999999998</v>
      </c>
      <c r="J17" s="4">
        <v>5</v>
      </c>
      <c r="K17" s="7"/>
      <c r="L17" s="78">
        <v>3.2638888888888891E-2</v>
      </c>
      <c r="M17" s="76">
        <v>3.9583333333333331E-2</v>
      </c>
      <c r="N17" s="78">
        <v>0.13402777777777777</v>
      </c>
      <c r="O17" s="78">
        <v>0.13472222222222222</v>
      </c>
      <c r="P17" s="47">
        <v>2.1063999999999998</v>
      </c>
      <c r="Q17" t="s">
        <v>44</v>
      </c>
      <c r="R17" t="s">
        <v>45</v>
      </c>
      <c r="T17" t="s">
        <v>45</v>
      </c>
      <c r="U17" s="7"/>
      <c r="V17" s="13">
        <f t="shared" si="12"/>
        <v>9.9999999999999947</v>
      </c>
      <c r="W17" s="13">
        <f t="shared" si="12"/>
        <v>136</v>
      </c>
      <c r="X17" s="40">
        <f t="shared" si="13"/>
        <v>47</v>
      </c>
      <c r="Y17" s="4">
        <f t="shared" si="13"/>
        <v>27</v>
      </c>
      <c r="Z17" s="4">
        <f t="shared" si="1"/>
        <v>-46.999999999999993</v>
      </c>
      <c r="AA17" s="4">
        <f t="shared" si="2"/>
        <v>-27</v>
      </c>
      <c r="AB17" s="4">
        <f t="shared" si="3"/>
        <v>-46</v>
      </c>
      <c r="AC17" s="13">
        <f t="shared" si="4"/>
        <v>1</v>
      </c>
      <c r="AD17" s="15">
        <f t="shared" si="5"/>
        <v>94</v>
      </c>
      <c r="AG17" s="18">
        <v>0</v>
      </c>
      <c r="AH17" s="19">
        <f t="shared" si="6"/>
        <v>30</v>
      </c>
      <c r="AI17" s="19">
        <v>210</v>
      </c>
      <c r="AJ17" s="19">
        <f t="shared" si="7"/>
        <v>240</v>
      </c>
      <c r="AK17" s="20">
        <f t="shared" si="14"/>
        <v>37</v>
      </c>
      <c r="AL17" s="19">
        <f t="shared" si="15"/>
        <v>37</v>
      </c>
      <c r="AM17" s="19">
        <f t="shared" si="16"/>
        <v>57</v>
      </c>
      <c r="AN17" s="19">
        <f t="shared" si="17"/>
        <v>57</v>
      </c>
      <c r="AO17" s="19">
        <f>AN17+W17</f>
        <v>193</v>
      </c>
      <c r="AP17" s="19">
        <f t="shared" si="19"/>
        <v>146.5</v>
      </c>
      <c r="AQ17" s="19">
        <f t="shared" si="20"/>
        <v>194</v>
      </c>
      <c r="AR17" s="19">
        <f t="shared" si="21"/>
        <v>314</v>
      </c>
      <c r="AS17" s="47">
        <f t="shared" si="22"/>
        <v>-44.680000000000007</v>
      </c>
      <c r="AT17" s="77">
        <f t="shared" si="8"/>
        <v>-100</v>
      </c>
      <c r="AU17" s="77"/>
      <c r="AV17" s="77"/>
      <c r="AW17" s="77"/>
    </row>
    <row r="18" spans="1:49">
      <c r="A18" s="30">
        <f t="shared" si="0"/>
        <v>45825</v>
      </c>
      <c r="B18" s="31">
        <v>45825</v>
      </c>
      <c r="C18" s="32" t="s">
        <v>150</v>
      </c>
      <c r="D18" s="33">
        <v>0</v>
      </c>
      <c r="E18" s="35">
        <f t="shared" si="9"/>
        <v>2.0833333333333332E-2</v>
      </c>
      <c r="F18" s="34">
        <v>30</v>
      </c>
      <c r="G18" s="33">
        <v>0.16666666666666666</v>
      </c>
      <c r="H18" s="36">
        <f t="shared" si="10"/>
        <v>210</v>
      </c>
      <c r="I18" s="37">
        <f t="shared" si="11"/>
        <v>0.12847222222222221</v>
      </c>
      <c r="J18" s="4">
        <v>5</v>
      </c>
      <c r="K18" s="7"/>
      <c r="L18" s="78">
        <v>3.1944444444444442E-2</v>
      </c>
      <c r="M18" s="76">
        <v>3.8194444444444448E-2</v>
      </c>
      <c r="N18" s="78">
        <v>0.125</v>
      </c>
      <c r="O18" s="78">
        <v>0.12638888888888888</v>
      </c>
      <c r="P18" s="47">
        <v>2.0835400000000002</v>
      </c>
      <c r="Q18" t="s">
        <v>45</v>
      </c>
      <c r="R18" t="s">
        <v>45</v>
      </c>
      <c r="T18" t="s">
        <v>45</v>
      </c>
      <c r="U18" s="7"/>
      <c r="V18" s="13">
        <f t="shared" si="12"/>
        <v>9.0000000000000071</v>
      </c>
      <c r="W18" s="13">
        <f t="shared" si="12"/>
        <v>125</v>
      </c>
      <c r="X18" s="40">
        <f t="shared" si="13"/>
        <v>46</v>
      </c>
      <c r="Y18" s="4">
        <f t="shared" si="13"/>
        <v>25.000000000000007</v>
      </c>
      <c r="Z18" s="4">
        <f t="shared" si="1"/>
        <v>-59.999999999999986</v>
      </c>
      <c r="AA18" s="4">
        <f t="shared" si="2"/>
        <v>-39</v>
      </c>
      <c r="AB18" s="4">
        <f t="shared" si="3"/>
        <v>-57.999999999999993</v>
      </c>
      <c r="AC18" s="13">
        <f t="shared" si="4"/>
        <v>2</v>
      </c>
      <c r="AD18" s="15">
        <f t="shared" si="5"/>
        <v>105.99999999999999</v>
      </c>
      <c r="AG18" s="18">
        <v>0</v>
      </c>
      <c r="AH18" s="19">
        <f t="shared" si="6"/>
        <v>30</v>
      </c>
      <c r="AI18" s="19">
        <v>210</v>
      </c>
      <c r="AJ18" s="19">
        <f t="shared" si="7"/>
        <v>240</v>
      </c>
      <c r="AK18" s="20">
        <f t="shared" si="14"/>
        <v>36</v>
      </c>
      <c r="AL18" s="19">
        <f t="shared" si="15"/>
        <v>36</v>
      </c>
      <c r="AM18" s="19">
        <f t="shared" si="16"/>
        <v>55.000000000000007</v>
      </c>
      <c r="AN18" s="19">
        <f t="shared" si="17"/>
        <v>55.000000000000007</v>
      </c>
      <c r="AO18" s="19">
        <f>AN18+W18</f>
        <v>180</v>
      </c>
      <c r="AP18" s="19">
        <f t="shared" si="19"/>
        <v>140</v>
      </c>
      <c r="AQ18" s="19">
        <f t="shared" si="20"/>
        <v>182</v>
      </c>
      <c r="AR18" s="19">
        <f t="shared" si="21"/>
        <v>326</v>
      </c>
      <c r="AS18" s="47">
        <f t="shared" si="22"/>
        <v>-45.822999999999993</v>
      </c>
      <c r="AT18" s="77"/>
      <c r="AU18" s="77"/>
      <c r="AV18" s="77"/>
      <c r="AW18" s="77"/>
    </row>
    <row r="19" spans="1:49">
      <c r="A19" s="30">
        <f t="shared" si="0"/>
        <v>45826</v>
      </c>
      <c r="B19" s="31">
        <v>45826</v>
      </c>
      <c r="C19" s="32" t="s">
        <v>150</v>
      </c>
      <c r="D19" s="33">
        <v>0</v>
      </c>
      <c r="E19" s="35">
        <f t="shared" si="9"/>
        <v>2.0833333333333332E-2</v>
      </c>
      <c r="F19" s="34">
        <v>30</v>
      </c>
      <c r="G19" s="33">
        <v>0.16666666666666666</v>
      </c>
      <c r="H19" s="36">
        <f t="shared" si="10"/>
        <v>210</v>
      </c>
      <c r="I19" s="37">
        <f t="shared" si="11"/>
        <v>0.13958333333333331</v>
      </c>
      <c r="J19" s="4">
        <v>5</v>
      </c>
      <c r="K19" s="7"/>
      <c r="L19" s="78">
        <v>2.5694444444444443E-2</v>
      </c>
      <c r="M19" s="76">
        <v>3.6111111111111108E-2</v>
      </c>
      <c r="N19" s="78">
        <v>0.1361111111111111</v>
      </c>
      <c r="O19" s="78">
        <v>0.13750000000000001</v>
      </c>
      <c r="P19" s="47">
        <v>2.1171600000000002</v>
      </c>
      <c r="Q19" t="s">
        <v>44</v>
      </c>
      <c r="R19" t="s">
        <v>44</v>
      </c>
      <c r="T19" t="s">
        <v>45</v>
      </c>
      <c r="U19" s="7"/>
      <c r="V19" s="13">
        <f t="shared" si="12"/>
        <v>14.999999999999996</v>
      </c>
      <c r="W19" s="13">
        <f t="shared" si="12"/>
        <v>144</v>
      </c>
      <c r="X19" s="40">
        <f t="shared" si="13"/>
        <v>37</v>
      </c>
      <c r="Y19" s="4">
        <f t="shared" si="13"/>
        <v>21.999999999999996</v>
      </c>
      <c r="Z19" s="4">
        <f t="shared" si="1"/>
        <v>-44</v>
      </c>
      <c r="AA19" s="4">
        <f t="shared" si="2"/>
        <v>-29</v>
      </c>
      <c r="AB19" s="4">
        <f t="shared" si="3"/>
        <v>-41.999999999999972</v>
      </c>
      <c r="AC19" s="13">
        <f t="shared" si="4"/>
        <v>2</v>
      </c>
      <c r="AD19" s="15">
        <f t="shared" si="5"/>
        <v>81</v>
      </c>
      <c r="AG19" s="18">
        <v>0</v>
      </c>
      <c r="AH19" s="19">
        <f t="shared" si="6"/>
        <v>30</v>
      </c>
      <c r="AI19" s="19">
        <v>211</v>
      </c>
      <c r="AJ19" s="19">
        <f t="shared" si="7"/>
        <v>240</v>
      </c>
      <c r="AK19" s="20">
        <f t="shared" si="14"/>
        <v>27</v>
      </c>
      <c r="AL19" s="19">
        <f t="shared" si="15"/>
        <v>27</v>
      </c>
      <c r="AM19" s="19">
        <f t="shared" si="16"/>
        <v>52</v>
      </c>
      <c r="AN19" s="19">
        <f t="shared" si="17"/>
        <v>52</v>
      </c>
      <c r="AO19" s="19">
        <f>AN19+W19</f>
        <v>196</v>
      </c>
      <c r="AP19" s="19">
        <f t="shared" si="19"/>
        <v>148</v>
      </c>
      <c r="AQ19" s="19">
        <f t="shared" si="20"/>
        <v>198</v>
      </c>
      <c r="AR19" s="19">
        <f t="shared" si="21"/>
        <v>301</v>
      </c>
      <c r="AS19" s="47">
        <f t="shared" si="22"/>
        <v>-44.141999999999996</v>
      </c>
      <c r="AT19" s="77">
        <f t="shared" si="8"/>
        <v>-100</v>
      </c>
      <c r="AU19" s="77">
        <f t="shared" si="24"/>
        <v>-88</v>
      </c>
      <c r="AV19" s="77"/>
      <c r="AW19" s="77"/>
    </row>
    <row r="20" spans="1:49">
      <c r="A20" s="30">
        <f t="shared" si="0"/>
        <v>45827</v>
      </c>
      <c r="B20" s="31">
        <v>45827</v>
      </c>
      <c r="C20" s="32" t="s">
        <v>150</v>
      </c>
      <c r="D20" s="33">
        <v>0</v>
      </c>
      <c r="E20" s="35">
        <f t="shared" si="9"/>
        <v>2.0833333333333332E-2</v>
      </c>
      <c r="F20" s="34">
        <v>30</v>
      </c>
      <c r="G20" s="33">
        <v>0.16666666666666666</v>
      </c>
      <c r="H20" s="36">
        <f t="shared" si="10"/>
        <v>210</v>
      </c>
      <c r="I20" s="37">
        <f t="shared" si="11"/>
        <v>0.1423611111111111</v>
      </c>
      <c r="J20" s="4">
        <v>5</v>
      </c>
      <c r="K20" s="7"/>
      <c r="L20" s="78">
        <v>2.9861111111111113E-2</v>
      </c>
      <c r="M20" s="76">
        <v>5.4166666666666669E-2</v>
      </c>
      <c r="N20" s="78">
        <v>0.1388888888888889</v>
      </c>
      <c r="O20" s="78">
        <v>0.14027777777777778</v>
      </c>
      <c r="P20" s="47">
        <v>2.1271</v>
      </c>
      <c r="Q20" t="s">
        <v>45</v>
      </c>
      <c r="R20" t="s">
        <v>44</v>
      </c>
      <c r="T20" t="s">
        <v>45</v>
      </c>
      <c r="U20" s="7"/>
      <c r="V20" s="13">
        <f t="shared" si="12"/>
        <v>35</v>
      </c>
      <c r="W20" s="13">
        <f t="shared" si="12"/>
        <v>122</v>
      </c>
      <c r="X20" s="40">
        <f t="shared" si="13"/>
        <v>43</v>
      </c>
      <c r="Y20" s="4">
        <f t="shared" si="13"/>
        <v>48.000000000000007</v>
      </c>
      <c r="Z20" s="4">
        <f t="shared" si="1"/>
        <v>-39.999999999999979</v>
      </c>
      <c r="AA20" s="4">
        <f t="shared" si="2"/>
        <v>-45</v>
      </c>
      <c r="AB20" s="4">
        <f t="shared" si="3"/>
        <v>-37.999999999999986</v>
      </c>
      <c r="AC20" s="13">
        <f t="shared" si="4"/>
        <v>2</v>
      </c>
      <c r="AD20" s="15">
        <f t="shared" si="5"/>
        <v>82.999999999999972</v>
      </c>
      <c r="AG20" s="18">
        <v>0</v>
      </c>
      <c r="AH20" s="19">
        <f t="shared" si="6"/>
        <v>30</v>
      </c>
      <c r="AI20" s="19">
        <v>210</v>
      </c>
      <c r="AJ20" s="19">
        <f t="shared" si="7"/>
        <v>240</v>
      </c>
      <c r="AK20" s="20">
        <f t="shared" si="14"/>
        <v>33</v>
      </c>
      <c r="AL20" s="19">
        <f>AK20</f>
        <v>33</v>
      </c>
      <c r="AM20" s="19">
        <f t="shared" si="16"/>
        <v>78</v>
      </c>
      <c r="AN20" s="19">
        <f t="shared" si="17"/>
        <v>78</v>
      </c>
      <c r="AO20" s="19">
        <f>AN20+W20</f>
        <v>200</v>
      </c>
      <c r="AP20" s="19">
        <f t="shared" si="19"/>
        <v>150</v>
      </c>
      <c r="AQ20" s="19">
        <f t="shared" si="20"/>
        <v>202</v>
      </c>
      <c r="AR20" s="19">
        <f t="shared" si="21"/>
        <v>303</v>
      </c>
      <c r="AS20" s="47">
        <f t="shared" si="22"/>
        <v>-43.644999999999996</v>
      </c>
      <c r="AT20" s="77"/>
      <c r="AU20" s="77">
        <f t="shared" si="24"/>
        <v>-88</v>
      </c>
      <c r="AV20" s="77"/>
      <c r="AW20" s="77"/>
    </row>
    <row r="21" spans="1:49">
      <c r="A21" s="30">
        <f t="shared" si="0"/>
        <v>45828</v>
      </c>
      <c r="B21" s="31">
        <v>45828</v>
      </c>
      <c r="C21" s="32" t="s">
        <v>150</v>
      </c>
      <c r="D21" s="33">
        <v>0</v>
      </c>
      <c r="E21" s="35">
        <f t="shared" si="9"/>
        <v>2.0833333333333332E-2</v>
      </c>
      <c r="F21" s="34">
        <v>30</v>
      </c>
      <c r="G21" s="33">
        <v>0.16666666666666666</v>
      </c>
      <c r="H21" s="36">
        <f t="shared" si="10"/>
        <v>210</v>
      </c>
      <c r="I21" s="37">
        <f t="shared" si="11"/>
        <v>0.12777777777777777</v>
      </c>
      <c r="J21" s="4">
        <v>5</v>
      </c>
      <c r="K21" s="7"/>
      <c r="L21" s="78">
        <v>2.9166666666666667E-2</v>
      </c>
      <c r="M21" s="76">
        <v>3.888888888888889E-2</v>
      </c>
      <c r="N21" s="78">
        <v>0.12430555555555556</v>
      </c>
      <c r="O21" s="78">
        <v>0.12569444444444444</v>
      </c>
      <c r="P21" s="47">
        <v>2.15036</v>
      </c>
      <c r="Q21" t="s">
        <v>45</v>
      </c>
      <c r="R21" t="s">
        <v>44</v>
      </c>
      <c r="T21" t="s">
        <v>45</v>
      </c>
      <c r="U21" s="7"/>
      <c r="V21" s="13">
        <f t="shared" si="12"/>
        <v>14</v>
      </c>
      <c r="W21" s="13">
        <f t="shared" si="12"/>
        <v>123</v>
      </c>
      <c r="X21" s="40">
        <f t="shared" si="13"/>
        <v>42</v>
      </c>
      <c r="Y21" s="4">
        <f t="shared" si="13"/>
        <v>26.000000000000004</v>
      </c>
      <c r="Z21" s="4">
        <f t="shared" si="1"/>
        <v>-60.999999999999986</v>
      </c>
      <c r="AA21" s="4">
        <f t="shared" si="2"/>
        <v>-45</v>
      </c>
      <c r="AB21" s="4">
        <f t="shared" si="3"/>
        <v>-58.999999999999993</v>
      </c>
      <c r="AC21" s="13">
        <f t="shared" si="4"/>
        <v>2</v>
      </c>
      <c r="AD21" s="15">
        <f t="shared" si="5"/>
        <v>102.99999999999999</v>
      </c>
      <c r="AG21" s="18">
        <v>0</v>
      </c>
      <c r="AH21" s="19">
        <f t="shared" si="6"/>
        <v>30</v>
      </c>
      <c r="AI21" s="19">
        <v>210</v>
      </c>
      <c r="AJ21" s="19">
        <f t="shared" si="7"/>
        <v>240</v>
      </c>
      <c r="AK21" s="20">
        <f t="shared" si="14"/>
        <v>32</v>
      </c>
      <c r="AL21" s="19">
        <f t="shared" ref="AL21:AL31" si="25">AK21</f>
        <v>32</v>
      </c>
      <c r="AM21" s="19">
        <f t="shared" si="16"/>
        <v>56</v>
      </c>
      <c r="AN21" s="19">
        <f t="shared" si="17"/>
        <v>56</v>
      </c>
      <c r="AO21" s="19">
        <f t="shared" ref="AO21:AO31" si="26">AN21+W21</f>
        <v>179</v>
      </c>
      <c r="AP21" s="19">
        <f t="shared" si="19"/>
        <v>139.5</v>
      </c>
      <c r="AQ21" s="19">
        <f t="shared" si="20"/>
        <v>181</v>
      </c>
      <c r="AR21" s="19">
        <f t="shared" si="21"/>
        <v>323</v>
      </c>
      <c r="AS21" s="47">
        <f t="shared" si="22"/>
        <v>-42.481999999999999</v>
      </c>
      <c r="AT21" s="77"/>
      <c r="AU21" s="77">
        <f t="shared" si="24"/>
        <v>-88</v>
      </c>
      <c r="AV21" s="77"/>
      <c r="AW21" s="77"/>
    </row>
    <row r="22" spans="1:49">
      <c r="A22" s="30">
        <f t="shared" si="0"/>
        <v>45829</v>
      </c>
      <c r="B22" s="31">
        <v>45829</v>
      </c>
      <c r="C22" s="32" t="s">
        <v>150</v>
      </c>
      <c r="D22" s="33">
        <v>0</v>
      </c>
      <c r="E22" s="35">
        <f t="shared" si="9"/>
        <v>2.0833333333333332E-2</v>
      </c>
      <c r="F22" s="34">
        <v>30</v>
      </c>
      <c r="G22" s="33">
        <v>0.16666666666666666</v>
      </c>
      <c r="H22" s="36">
        <f t="shared" si="10"/>
        <v>210</v>
      </c>
      <c r="I22" s="37">
        <f t="shared" si="11"/>
        <v>0.13194444444444442</v>
      </c>
      <c r="J22" s="4">
        <v>5</v>
      </c>
      <c r="K22" s="7"/>
      <c r="L22" s="78">
        <v>4.0972222222222222E-2</v>
      </c>
      <c r="M22" s="76">
        <v>4.9305555555555554E-2</v>
      </c>
      <c r="N22" s="78">
        <v>0.12847222222222221</v>
      </c>
      <c r="O22" s="78">
        <v>0.12986111111111112</v>
      </c>
      <c r="P22" s="47">
        <v>2.1272600000000002</v>
      </c>
      <c r="Q22" t="s">
        <v>45</v>
      </c>
      <c r="R22" t="s">
        <v>45</v>
      </c>
      <c r="T22" t="s">
        <v>45</v>
      </c>
      <c r="U22" s="7"/>
      <c r="V22" s="13">
        <f t="shared" si="12"/>
        <v>11.999999999999996</v>
      </c>
      <c r="W22" s="13">
        <f t="shared" si="12"/>
        <v>114</v>
      </c>
      <c r="X22" s="40">
        <f t="shared" si="13"/>
        <v>59</v>
      </c>
      <c r="Y22" s="4">
        <f t="shared" si="13"/>
        <v>41</v>
      </c>
      <c r="Z22" s="4">
        <f t="shared" si="1"/>
        <v>-55.000000000000007</v>
      </c>
      <c r="AA22" s="4">
        <f t="shared" si="2"/>
        <v>-37</v>
      </c>
      <c r="AB22" s="4">
        <f t="shared" si="3"/>
        <v>-52.999999999999972</v>
      </c>
      <c r="AC22" s="13">
        <f t="shared" si="4"/>
        <v>2</v>
      </c>
      <c r="AD22" s="15">
        <f t="shared" si="5"/>
        <v>114</v>
      </c>
      <c r="AG22" s="18">
        <v>0</v>
      </c>
      <c r="AH22" s="19">
        <f t="shared" si="6"/>
        <v>30</v>
      </c>
      <c r="AI22" s="19">
        <v>210</v>
      </c>
      <c r="AJ22" s="19">
        <f t="shared" si="7"/>
        <v>240</v>
      </c>
      <c r="AK22" s="20">
        <f t="shared" si="14"/>
        <v>49</v>
      </c>
      <c r="AL22" s="19">
        <f t="shared" si="25"/>
        <v>49</v>
      </c>
      <c r="AM22" s="19">
        <f t="shared" si="16"/>
        <v>71</v>
      </c>
      <c r="AN22" s="19">
        <f t="shared" si="17"/>
        <v>71</v>
      </c>
      <c r="AO22" s="19">
        <f t="shared" si="26"/>
        <v>185</v>
      </c>
      <c r="AP22" s="19">
        <f t="shared" si="19"/>
        <v>142.5</v>
      </c>
      <c r="AQ22" s="19">
        <f t="shared" si="20"/>
        <v>187</v>
      </c>
      <c r="AR22" s="19">
        <f t="shared" si="21"/>
        <v>334</v>
      </c>
      <c r="AS22" s="47">
        <f t="shared" si="22"/>
        <v>-43.636999999999986</v>
      </c>
      <c r="AT22" s="77"/>
      <c r="AU22" s="77"/>
      <c r="AV22" s="77"/>
      <c r="AW22" s="77"/>
    </row>
    <row r="23" spans="1:49">
      <c r="A23" s="30">
        <f t="shared" si="0"/>
        <v>45830</v>
      </c>
      <c r="B23" s="31">
        <v>45830</v>
      </c>
      <c r="C23" s="32" t="s">
        <v>150</v>
      </c>
      <c r="D23" s="33">
        <v>0</v>
      </c>
      <c r="E23" s="35">
        <f t="shared" si="9"/>
        <v>2.0833333333333332E-2</v>
      </c>
      <c r="F23" s="34">
        <v>30</v>
      </c>
      <c r="G23" s="33">
        <v>0.16666666666666666</v>
      </c>
      <c r="H23" s="36">
        <f t="shared" si="10"/>
        <v>210</v>
      </c>
      <c r="I23" s="37">
        <f t="shared" si="11"/>
        <v>0.13402777777777777</v>
      </c>
      <c r="J23" s="4">
        <v>5</v>
      </c>
      <c r="K23" s="7"/>
      <c r="L23" s="78">
        <v>4.791666666666667E-2</v>
      </c>
      <c r="M23" s="76">
        <v>5.5555555555555552E-2</v>
      </c>
      <c r="N23" s="78">
        <v>0.13055555555555556</v>
      </c>
      <c r="O23" s="78">
        <v>0.13194444444444445</v>
      </c>
      <c r="P23" s="47">
        <v>2.1360600000000001</v>
      </c>
      <c r="Q23" t="s">
        <v>45</v>
      </c>
      <c r="R23" t="s">
        <v>45</v>
      </c>
      <c r="T23" t="s">
        <v>45</v>
      </c>
      <c r="U23" s="7"/>
      <c r="V23" s="13">
        <f t="shared" si="12"/>
        <v>10.999999999999991</v>
      </c>
      <c r="W23" s="13">
        <f t="shared" si="12"/>
        <v>108.00000000000001</v>
      </c>
      <c r="X23" s="40">
        <f t="shared" si="13"/>
        <v>69</v>
      </c>
      <c r="Y23" s="4">
        <f t="shared" si="13"/>
        <v>50</v>
      </c>
      <c r="Z23" s="4">
        <f t="shared" si="1"/>
        <v>-51.999999999999972</v>
      </c>
      <c r="AA23" s="4">
        <f t="shared" si="2"/>
        <v>-32.999999999999986</v>
      </c>
      <c r="AB23" s="4">
        <f t="shared" si="3"/>
        <v>-49.999999999999986</v>
      </c>
      <c r="AC23" s="13">
        <f t="shared" si="4"/>
        <v>2</v>
      </c>
      <c r="AD23" s="15">
        <f t="shared" si="5"/>
        <v>120.99999999999997</v>
      </c>
      <c r="AG23" s="18">
        <v>0</v>
      </c>
      <c r="AH23" s="19">
        <f t="shared" si="6"/>
        <v>30</v>
      </c>
      <c r="AI23" s="19">
        <v>210</v>
      </c>
      <c r="AJ23" s="19">
        <f t="shared" si="7"/>
        <v>240</v>
      </c>
      <c r="AK23" s="20">
        <f t="shared" si="14"/>
        <v>59</v>
      </c>
      <c r="AL23" s="19">
        <f t="shared" si="25"/>
        <v>59</v>
      </c>
      <c r="AM23" s="19">
        <f t="shared" si="16"/>
        <v>80</v>
      </c>
      <c r="AN23" s="19">
        <f t="shared" si="17"/>
        <v>80</v>
      </c>
      <c r="AO23" s="19">
        <f t="shared" si="26"/>
        <v>188</v>
      </c>
      <c r="AP23" s="19">
        <f t="shared" si="19"/>
        <v>144</v>
      </c>
      <c r="AQ23" s="19">
        <f t="shared" si="20"/>
        <v>190</v>
      </c>
      <c r="AR23" s="19">
        <f t="shared" si="21"/>
        <v>341</v>
      </c>
      <c r="AS23" s="47">
        <f t="shared" si="22"/>
        <v>-43.197000000000003</v>
      </c>
      <c r="AT23" s="77"/>
      <c r="AU23" s="77"/>
      <c r="AV23" s="77"/>
      <c r="AW23" s="77"/>
    </row>
    <row r="24" spans="1:49">
      <c r="A24" s="30">
        <f t="shared" si="0"/>
        <v>45831</v>
      </c>
      <c r="B24" s="31">
        <v>45831</v>
      </c>
      <c r="C24" s="32" t="s">
        <v>150</v>
      </c>
      <c r="D24" s="33">
        <v>0</v>
      </c>
      <c r="E24" s="35">
        <f t="shared" si="9"/>
        <v>2.0833333333333332E-2</v>
      </c>
      <c r="F24" s="34">
        <v>30</v>
      </c>
      <c r="G24" s="33">
        <v>0.16666666666666666</v>
      </c>
      <c r="H24" s="36">
        <f t="shared" si="10"/>
        <v>210</v>
      </c>
      <c r="I24" s="37">
        <f t="shared" si="11"/>
        <v>0.12847222222222221</v>
      </c>
      <c r="J24" s="4">
        <v>5</v>
      </c>
      <c r="K24" s="7"/>
      <c r="L24" s="78">
        <v>2.1527777777777778E-2</v>
      </c>
      <c r="M24" s="76">
        <v>3.3333333333333333E-2</v>
      </c>
      <c r="N24" s="78">
        <v>0.125</v>
      </c>
      <c r="O24" s="78">
        <v>0.12638888888888888</v>
      </c>
      <c r="P24" s="47">
        <v>2.1429200000000002</v>
      </c>
      <c r="Q24" t="s">
        <v>44</v>
      </c>
      <c r="R24" t="s">
        <v>45</v>
      </c>
      <c r="T24" t="s">
        <v>45</v>
      </c>
      <c r="U24" s="7"/>
      <c r="V24" s="13">
        <f t="shared" si="12"/>
        <v>17</v>
      </c>
      <c r="W24" s="13">
        <f t="shared" si="12"/>
        <v>132</v>
      </c>
      <c r="X24" s="40">
        <f t="shared" si="13"/>
        <v>31</v>
      </c>
      <c r="Y24" s="4">
        <f t="shared" si="13"/>
        <v>18</v>
      </c>
      <c r="Z24" s="4">
        <f t="shared" si="1"/>
        <v>-59.999999999999986</v>
      </c>
      <c r="AA24" s="4">
        <f t="shared" si="2"/>
        <v>-47</v>
      </c>
      <c r="AB24" s="4">
        <f t="shared" si="3"/>
        <v>-57.999999999999993</v>
      </c>
      <c r="AC24" s="13">
        <f t="shared" si="4"/>
        <v>2</v>
      </c>
      <c r="AD24" s="15">
        <f t="shared" si="5"/>
        <v>90.999999999999986</v>
      </c>
      <c r="AG24" s="18">
        <v>0</v>
      </c>
      <c r="AH24" s="19">
        <f t="shared" si="6"/>
        <v>30</v>
      </c>
      <c r="AI24" s="19">
        <v>210</v>
      </c>
      <c r="AJ24" s="19">
        <f t="shared" si="7"/>
        <v>240</v>
      </c>
      <c r="AK24" s="20">
        <f t="shared" si="14"/>
        <v>21</v>
      </c>
      <c r="AL24" s="19">
        <f t="shared" si="25"/>
        <v>21</v>
      </c>
      <c r="AM24" s="19">
        <f t="shared" si="16"/>
        <v>48</v>
      </c>
      <c r="AN24" s="19">
        <f t="shared" si="17"/>
        <v>48</v>
      </c>
      <c r="AO24" s="19">
        <f t="shared" si="26"/>
        <v>180</v>
      </c>
      <c r="AP24" s="19">
        <f t="shared" si="19"/>
        <v>140</v>
      </c>
      <c r="AQ24" s="19">
        <f t="shared" si="20"/>
        <v>182</v>
      </c>
      <c r="AR24" s="19">
        <f t="shared" si="21"/>
        <v>311</v>
      </c>
      <c r="AS24" s="47">
        <f t="shared" si="22"/>
        <v>-42.853999999999985</v>
      </c>
      <c r="AT24" s="77">
        <f t="shared" si="8"/>
        <v>-100</v>
      </c>
      <c r="AU24" s="77"/>
      <c r="AV24" s="77"/>
      <c r="AW24" s="77"/>
    </row>
    <row r="25" spans="1:49">
      <c r="A25" s="30">
        <f t="shared" si="0"/>
        <v>45832</v>
      </c>
      <c r="B25" s="31">
        <v>45832</v>
      </c>
      <c r="C25" s="32" t="s">
        <v>150</v>
      </c>
      <c r="D25" s="33">
        <v>0</v>
      </c>
      <c r="E25" s="35">
        <f t="shared" si="9"/>
        <v>2.0833333333333332E-2</v>
      </c>
      <c r="F25" s="34">
        <v>30</v>
      </c>
      <c r="G25" s="33">
        <v>0.16666666666666666</v>
      </c>
      <c r="H25" s="36">
        <f t="shared" si="10"/>
        <v>210</v>
      </c>
      <c r="I25" s="37">
        <f t="shared" si="11"/>
        <v>0.12986111111111109</v>
      </c>
      <c r="J25" s="4">
        <v>5</v>
      </c>
      <c r="K25" s="7"/>
      <c r="L25" s="78">
        <v>3.3333333333333333E-2</v>
      </c>
      <c r="M25" s="76">
        <v>4.3055555555555555E-2</v>
      </c>
      <c r="N25" s="78">
        <v>0.12638888888888888</v>
      </c>
      <c r="O25" s="78">
        <v>0.12847222222222221</v>
      </c>
      <c r="P25" s="47">
        <v>2.1181000000000001</v>
      </c>
      <c r="Q25" t="s">
        <v>45</v>
      </c>
      <c r="R25" t="s">
        <v>44</v>
      </c>
      <c r="T25" t="s">
        <v>45</v>
      </c>
      <c r="U25" s="7"/>
      <c r="V25" s="13">
        <f t="shared" si="12"/>
        <v>14</v>
      </c>
      <c r="W25" s="13">
        <f t="shared" si="12"/>
        <v>120</v>
      </c>
      <c r="X25" s="40">
        <f t="shared" si="13"/>
        <v>48</v>
      </c>
      <c r="Y25" s="4">
        <f t="shared" si="13"/>
        <v>32</v>
      </c>
      <c r="Z25" s="4">
        <f t="shared" si="1"/>
        <v>-57.999999999999993</v>
      </c>
      <c r="AA25" s="4">
        <f t="shared" si="2"/>
        <v>-42</v>
      </c>
      <c r="AB25" s="4">
        <f t="shared" si="3"/>
        <v>-55.000000000000007</v>
      </c>
      <c r="AC25" s="13">
        <f t="shared" si="4"/>
        <v>3</v>
      </c>
      <c r="AD25" s="15">
        <f t="shared" si="5"/>
        <v>106</v>
      </c>
      <c r="AG25" s="18">
        <v>0</v>
      </c>
      <c r="AH25" s="19">
        <f t="shared" si="6"/>
        <v>30</v>
      </c>
      <c r="AI25" s="19">
        <v>210</v>
      </c>
      <c r="AJ25" s="19">
        <f t="shared" si="7"/>
        <v>240</v>
      </c>
      <c r="AK25" s="20">
        <f t="shared" si="14"/>
        <v>38</v>
      </c>
      <c r="AL25" s="19">
        <f t="shared" si="25"/>
        <v>38</v>
      </c>
      <c r="AM25" s="19">
        <f t="shared" si="16"/>
        <v>62</v>
      </c>
      <c r="AN25" s="19">
        <f t="shared" si="17"/>
        <v>62</v>
      </c>
      <c r="AO25" s="19">
        <f t="shared" si="26"/>
        <v>182</v>
      </c>
      <c r="AP25" s="19">
        <f t="shared" si="19"/>
        <v>141</v>
      </c>
      <c r="AQ25" s="19">
        <f t="shared" si="20"/>
        <v>185</v>
      </c>
      <c r="AR25" s="19">
        <f t="shared" si="21"/>
        <v>326</v>
      </c>
      <c r="AS25" s="47">
        <f t="shared" si="22"/>
        <v>-44.094999999999999</v>
      </c>
      <c r="AT25" s="77"/>
      <c r="AU25" s="77">
        <f t="shared" si="24"/>
        <v>-88</v>
      </c>
      <c r="AV25" s="77"/>
      <c r="AW25" s="77"/>
    </row>
    <row r="26" spans="1:49">
      <c r="A26" s="30">
        <f t="shared" si="0"/>
        <v>45833</v>
      </c>
      <c r="B26" s="31">
        <v>45833</v>
      </c>
      <c r="C26" s="32" t="s">
        <v>150</v>
      </c>
      <c r="D26" s="33">
        <v>0</v>
      </c>
      <c r="E26" s="35">
        <f t="shared" si="9"/>
        <v>2.0833333333333332E-2</v>
      </c>
      <c r="F26" s="34">
        <v>30</v>
      </c>
      <c r="G26" s="33">
        <v>0.16666666666666666</v>
      </c>
      <c r="H26" s="36">
        <f t="shared" si="10"/>
        <v>210</v>
      </c>
      <c r="I26" s="37">
        <f t="shared" si="11"/>
        <v>0.14374999999999999</v>
      </c>
      <c r="J26" s="4">
        <v>5</v>
      </c>
      <c r="K26" s="7"/>
      <c r="L26" s="78">
        <v>2.9861111111111113E-2</v>
      </c>
      <c r="M26" s="76">
        <v>3.8194444444444448E-2</v>
      </c>
      <c r="N26" s="78">
        <v>0.14027777777777778</v>
      </c>
      <c r="O26" s="78">
        <v>0.14166666666666666</v>
      </c>
      <c r="P26" s="47">
        <v>2.1174200000000001</v>
      </c>
      <c r="Q26" t="s">
        <v>45</v>
      </c>
      <c r="R26" t="s">
        <v>44</v>
      </c>
      <c r="T26" t="s">
        <v>45</v>
      </c>
      <c r="U26" s="7"/>
      <c r="V26" s="13">
        <f t="shared" si="12"/>
        <v>12.000000000000002</v>
      </c>
      <c r="W26" s="13">
        <f t="shared" si="12"/>
        <v>147</v>
      </c>
      <c r="X26" s="40">
        <f t="shared" si="13"/>
        <v>43</v>
      </c>
      <c r="Y26" s="4">
        <f t="shared" si="13"/>
        <v>25.000000000000007</v>
      </c>
      <c r="Z26" s="4">
        <f t="shared" si="1"/>
        <v>-37.999999999999986</v>
      </c>
      <c r="AA26" s="4">
        <f t="shared" si="2"/>
        <v>-20</v>
      </c>
      <c r="AB26" s="4">
        <f t="shared" si="3"/>
        <v>-35.999999999999993</v>
      </c>
      <c r="AC26" s="13">
        <f t="shared" si="4"/>
        <v>2</v>
      </c>
      <c r="AD26" s="15">
        <f t="shared" si="5"/>
        <v>80.999999999999986</v>
      </c>
      <c r="AG26" s="18">
        <v>0</v>
      </c>
      <c r="AH26" s="19">
        <f t="shared" si="6"/>
        <v>30</v>
      </c>
      <c r="AI26" s="19">
        <v>210</v>
      </c>
      <c r="AJ26" s="19">
        <f t="shared" si="7"/>
        <v>240</v>
      </c>
      <c r="AK26" s="20">
        <f t="shared" si="14"/>
        <v>33</v>
      </c>
      <c r="AL26" s="19">
        <f t="shared" si="25"/>
        <v>33</v>
      </c>
      <c r="AM26" s="19">
        <f t="shared" si="16"/>
        <v>55.000000000000007</v>
      </c>
      <c r="AN26" s="19">
        <f t="shared" si="17"/>
        <v>55.000000000000007</v>
      </c>
      <c r="AO26" s="19">
        <f t="shared" si="26"/>
        <v>202</v>
      </c>
      <c r="AP26" s="19">
        <f t="shared" si="19"/>
        <v>151</v>
      </c>
      <c r="AQ26" s="19">
        <f t="shared" si="20"/>
        <v>204</v>
      </c>
      <c r="AR26" s="19">
        <f t="shared" si="21"/>
        <v>301</v>
      </c>
      <c r="AS26" s="47">
        <f t="shared" si="22"/>
        <v>-44.128999999999991</v>
      </c>
      <c r="AT26" s="77"/>
      <c r="AU26" s="77">
        <f t="shared" si="24"/>
        <v>-88</v>
      </c>
      <c r="AV26" s="77"/>
      <c r="AW26" s="77"/>
    </row>
    <row r="27" spans="1:49">
      <c r="A27" s="30">
        <f t="shared" si="0"/>
        <v>45834</v>
      </c>
      <c r="B27" s="31">
        <v>45834</v>
      </c>
      <c r="C27" s="32" t="s">
        <v>150</v>
      </c>
      <c r="D27" s="33">
        <v>0</v>
      </c>
      <c r="E27" s="35">
        <f t="shared" si="9"/>
        <v>2.0833333333333332E-2</v>
      </c>
      <c r="F27" s="34">
        <v>30</v>
      </c>
      <c r="G27" s="33">
        <v>0.16666666666666666</v>
      </c>
      <c r="H27" s="36">
        <f t="shared" si="10"/>
        <v>210</v>
      </c>
      <c r="I27" s="37">
        <f t="shared" si="11"/>
        <v>0.13472222222222222</v>
      </c>
      <c r="J27" s="4">
        <v>5</v>
      </c>
      <c r="K27" s="7"/>
      <c r="L27" s="78">
        <v>3.8194444444444448E-2</v>
      </c>
      <c r="M27" s="76">
        <v>4.7222222222222221E-2</v>
      </c>
      <c r="N27" s="78">
        <v>0.13125000000000001</v>
      </c>
      <c r="O27" s="78">
        <v>0.13263888888888889</v>
      </c>
      <c r="P27" s="47">
        <v>2.1277200000000001</v>
      </c>
      <c r="Q27" t="s">
        <v>45</v>
      </c>
      <c r="R27" t="s">
        <v>45</v>
      </c>
      <c r="T27" t="s">
        <v>45</v>
      </c>
      <c r="U27" s="7"/>
      <c r="V27" s="13">
        <f t="shared" si="12"/>
        <v>12.999999999999993</v>
      </c>
      <c r="W27" s="13">
        <f t="shared" si="12"/>
        <v>121.00000000000001</v>
      </c>
      <c r="X27" s="40">
        <f t="shared" si="13"/>
        <v>55.000000000000007</v>
      </c>
      <c r="Y27" s="4">
        <f t="shared" si="13"/>
        <v>38</v>
      </c>
      <c r="Z27" s="4">
        <f t="shared" si="1"/>
        <v>-50.999999999999979</v>
      </c>
      <c r="AA27" s="4">
        <f t="shared" si="2"/>
        <v>-33.999999999999986</v>
      </c>
      <c r="AB27" s="4">
        <f t="shared" si="3"/>
        <v>-48.999999999999986</v>
      </c>
      <c r="AC27" s="13">
        <f t="shared" si="4"/>
        <v>2</v>
      </c>
      <c r="AD27" s="15">
        <f t="shared" si="5"/>
        <v>105.99999999999999</v>
      </c>
      <c r="AG27" s="18">
        <v>0</v>
      </c>
      <c r="AH27" s="19">
        <f t="shared" si="6"/>
        <v>30</v>
      </c>
      <c r="AI27" s="19">
        <v>210</v>
      </c>
      <c r="AJ27" s="19">
        <f t="shared" si="7"/>
        <v>240</v>
      </c>
      <c r="AK27" s="20">
        <f t="shared" si="14"/>
        <v>45.000000000000007</v>
      </c>
      <c r="AL27" s="19">
        <f t="shared" si="25"/>
        <v>45.000000000000007</v>
      </c>
      <c r="AM27" s="19">
        <f t="shared" si="16"/>
        <v>68</v>
      </c>
      <c r="AN27" s="19">
        <f t="shared" si="17"/>
        <v>68</v>
      </c>
      <c r="AO27" s="19">
        <f t="shared" si="26"/>
        <v>189</v>
      </c>
      <c r="AP27" s="19">
        <f t="shared" si="19"/>
        <v>144.5</v>
      </c>
      <c r="AQ27" s="19">
        <f t="shared" si="20"/>
        <v>191</v>
      </c>
      <c r="AR27" s="19">
        <f t="shared" si="21"/>
        <v>326</v>
      </c>
      <c r="AS27" s="47">
        <f t="shared" si="22"/>
        <v>-43.614000000000004</v>
      </c>
      <c r="AT27" s="77"/>
      <c r="AU27" s="77"/>
      <c r="AV27" s="77"/>
      <c r="AW27" s="77"/>
    </row>
    <row r="28" spans="1:49">
      <c r="A28" s="30">
        <f t="shared" si="0"/>
        <v>45835</v>
      </c>
      <c r="B28" s="31">
        <v>45835</v>
      </c>
      <c r="C28" s="32" t="s">
        <v>150</v>
      </c>
      <c r="D28" s="33">
        <v>0</v>
      </c>
      <c r="E28" s="35">
        <f t="shared" si="9"/>
        <v>2.0833333333333332E-2</v>
      </c>
      <c r="F28" s="34">
        <v>30</v>
      </c>
      <c r="G28" s="33">
        <v>0.16666666666666666</v>
      </c>
      <c r="H28" s="36">
        <f t="shared" si="10"/>
        <v>210</v>
      </c>
      <c r="I28" s="37">
        <f t="shared" si="11"/>
        <v>0.13680555555555554</v>
      </c>
      <c r="J28" s="4">
        <v>5</v>
      </c>
      <c r="K28" s="7"/>
      <c r="L28" s="78">
        <v>4.027777777777778E-2</v>
      </c>
      <c r="M28" s="76">
        <v>4.791666666666667E-2</v>
      </c>
      <c r="N28" s="78">
        <v>0.13333333333333333</v>
      </c>
      <c r="O28" s="78">
        <v>0.13472222222222222</v>
      </c>
      <c r="P28" s="47">
        <v>2.15306</v>
      </c>
      <c r="Q28" t="s">
        <v>44</v>
      </c>
      <c r="R28" t="s">
        <v>44</v>
      </c>
      <c r="T28" t="s">
        <v>45</v>
      </c>
      <c r="U28" s="7"/>
      <c r="V28" s="13">
        <f t="shared" si="12"/>
        <v>11</v>
      </c>
      <c r="W28" s="13">
        <f t="shared" si="12"/>
        <v>123</v>
      </c>
      <c r="X28" s="40">
        <f t="shared" si="13"/>
        <v>58.000000000000007</v>
      </c>
      <c r="Y28" s="4">
        <f t="shared" si="13"/>
        <v>39.000000000000007</v>
      </c>
      <c r="Z28" s="4">
        <f t="shared" si="1"/>
        <v>-47.999999999999986</v>
      </c>
      <c r="AA28" s="4">
        <f t="shared" si="2"/>
        <v>-29</v>
      </c>
      <c r="AB28" s="4">
        <f t="shared" si="3"/>
        <v>-46</v>
      </c>
      <c r="AC28" s="13">
        <f t="shared" si="4"/>
        <v>2</v>
      </c>
      <c r="AD28" s="15">
        <f t="shared" si="5"/>
        <v>106</v>
      </c>
      <c r="AG28" s="18">
        <v>0</v>
      </c>
      <c r="AH28" s="19">
        <f t="shared" si="6"/>
        <v>30</v>
      </c>
      <c r="AI28" s="19">
        <v>210</v>
      </c>
      <c r="AJ28" s="19">
        <f t="shared" si="7"/>
        <v>240</v>
      </c>
      <c r="AK28" s="20">
        <f t="shared" si="14"/>
        <v>48.000000000000007</v>
      </c>
      <c r="AL28" s="19">
        <f t="shared" si="25"/>
        <v>48.000000000000007</v>
      </c>
      <c r="AM28" s="19">
        <f t="shared" si="16"/>
        <v>69</v>
      </c>
      <c r="AN28" s="19">
        <f t="shared" si="17"/>
        <v>69</v>
      </c>
      <c r="AO28" s="19">
        <f t="shared" si="26"/>
        <v>192</v>
      </c>
      <c r="AP28" s="19">
        <f t="shared" si="19"/>
        <v>146</v>
      </c>
      <c r="AQ28" s="19">
        <f t="shared" si="20"/>
        <v>194</v>
      </c>
      <c r="AR28" s="19">
        <f t="shared" si="21"/>
        <v>326</v>
      </c>
      <c r="AS28" s="47">
        <f t="shared" si="22"/>
        <v>-42.347000000000008</v>
      </c>
      <c r="AT28" s="77">
        <f t="shared" si="8"/>
        <v>-100</v>
      </c>
      <c r="AU28" s="77">
        <f t="shared" si="24"/>
        <v>-88</v>
      </c>
      <c r="AV28" s="77"/>
      <c r="AW28" s="77"/>
    </row>
    <row r="29" spans="1:49">
      <c r="A29" s="30">
        <f t="shared" si="0"/>
        <v>45836</v>
      </c>
      <c r="B29" s="31">
        <v>45836</v>
      </c>
      <c r="C29" s="32" t="s">
        <v>150</v>
      </c>
      <c r="D29" s="33">
        <v>0</v>
      </c>
      <c r="E29" s="35">
        <f t="shared" si="9"/>
        <v>2.0833333333333332E-2</v>
      </c>
      <c r="F29" s="34">
        <v>30</v>
      </c>
      <c r="G29" s="33">
        <v>0.16666666666666666</v>
      </c>
      <c r="H29" s="36">
        <f t="shared" si="10"/>
        <v>210</v>
      </c>
      <c r="I29" s="37">
        <f t="shared" si="11"/>
        <v>0.14374999999999999</v>
      </c>
      <c r="J29" s="4">
        <v>5</v>
      </c>
      <c r="K29" s="7"/>
      <c r="L29" s="78">
        <v>0.05</v>
      </c>
      <c r="M29" s="76">
        <v>5.6944444444444443E-2</v>
      </c>
      <c r="N29" s="78">
        <v>0.14027777777777778</v>
      </c>
      <c r="O29" s="78">
        <v>0.14166666666666666</v>
      </c>
      <c r="P29" s="47">
        <v>2.1325400000000001</v>
      </c>
      <c r="Q29" t="s">
        <v>44</v>
      </c>
      <c r="R29" t="s">
        <v>45</v>
      </c>
      <c r="T29" t="s">
        <v>45</v>
      </c>
      <c r="U29" s="7"/>
      <c r="V29" s="13">
        <f t="shared" si="12"/>
        <v>9.9999999999999947</v>
      </c>
      <c r="W29" s="13">
        <f t="shared" si="12"/>
        <v>120.00000000000001</v>
      </c>
      <c r="X29" s="40">
        <f t="shared" si="13"/>
        <v>72</v>
      </c>
      <c r="Y29" s="4">
        <f t="shared" si="13"/>
        <v>51.999999999999993</v>
      </c>
      <c r="Z29" s="4">
        <f t="shared" si="1"/>
        <v>-37.999999999999986</v>
      </c>
      <c r="AA29" s="4">
        <f t="shared" si="2"/>
        <v>-17.999999999999986</v>
      </c>
      <c r="AB29" s="4">
        <f t="shared" si="3"/>
        <v>-35.999999999999993</v>
      </c>
      <c r="AC29" s="13">
        <f t="shared" si="4"/>
        <v>2</v>
      </c>
      <c r="AD29" s="15">
        <f t="shared" si="5"/>
        <v>109.99999999999999</v>
      </c>
      <c r="AG29" s="18">
        <v>0</v>
      </c>
      <c r="AH29" s="19">
        <f t="shared" si="6"/>
        <v>30</v>
      </c>
      <c r="AI29" s="19">
        <v>210</v>
      </c>
      <c r="AJ29" s="19">
        <f t="shared" si="7"/>
        <v>240</v>
      </c>
      <c r="AK29" s="20">
        <f t="shared" si="14"/>
        <v>62</v>
      </c>
      <c r="AL29" s="19">
        <f t="shared" si="25"/>
        <v>62</v>
      </c>
      <c r="AM29" s="19">
        <f t="shared" si="16"/>
        <v>82</v>
      </c>
      <c r="AN29" s="19">
        <f t="shared" si="17"/>
        <v>82</v>
      </c>
      <c r="AO29" s="19">
        <f t="shared" si="26"/>
        <v>202</v>
      </c>
      <c r="AP29" s="19">
        <f t="shared" si="19"/>
        <v>151</v>
      </c>
      <c r="AQ29" s="19">
        <f t="shared" si="20"/>
        <v>204</v>
      </c>
      <c r="AR29" s="19">
        <f t="shared" si="21"/>
        <v>330</v>
      </c>
      <c r="AS29" s="47">
        <f t="shared" si="22"/>
        <v>-43.37299999999999</v>
      </c>
      <c r="AT29" s="77">
        <f t="shared" si="8"/>
        <v>-100</v>
      </c>
      <c r="AU29" s="77"/>
      <c r="AV29" s="77"/>
      <c r="AW29" s="77"/>
    </row>
    <row r="30" spans="1:49">
      <c r="A30" s="30">
        <f t="shared" si="0"/>
        <v>45837</v>
      </c>
      <c r="B30" s="31">
        <v>45837</v>
      </c>
      <c r="C30" s="32" t="s">
        <v>150</v>
      </c>
      <c r="D30" s="33">
        <v>0</v>
      </c>
      <c r="E30" s="35">
        <f t="shared" si="9"/>
        <v>2.0833333333333332E-2</v>
      </c>
      <c r="F30" s="34">
        <v>30</v>
      </c>
      <c r="G30" s="33">
        <v>0.16666666666666666</v>
      </c>
      <c r="H30" s="36">
        <f t="shared" si="10"/>
        <v>210</v>
      </c>
      <c r="I30" s="37">
        <f t="shared" si="11"/>
        <v>0.15138888888888888</v>
      </c>
      <c r="J30" s="4">
        <v>5</v>
      </c>
      <c r="K30" s="7"/>
      <c r="L30" s="78">
        <v>3.888888888888889E-2</v>
      </c>
      <c r="M30" s="76">
        <v>4.4444444444444446E-2</v>
      </c>
      <c r="N30" s="78">
        <v>0.14791666666666667</v>
      </c>
      <c r="O30" s="78">
        <v>0.14930555555555555</v>
      </c>
      <c r="P30" s="47">
        <v>2.1413000000000002</v>
      </c>
      <c r="Q30" t="s">
        <v>44</v>
      </c>
      <c r="R30" t="s">
        <v>45</v>
      </c>
      <c r="T30" t="s">
        <v>45</v>
      </c>
      <c r="U30" s="7"/>
      <c r="V30" s="13">
        <f t="shared" si="12"/>
        <v>8.0000000000000018</v>
      </c>
      <c r="W30" s="13">
        <f t="shared" si="12"/>
        <v>149</v>
      </c>
      <c r="X30" s="40">
        <f t="shared" si="13"/>
        <v>56</v>
      </c>
      <c r="Y30" s="4">
        <f t="shared" si="13"/>
        <v>34.000000000000007</v>
      </c>
      <c r="Z30" s="4">
        <f t="shared" si="1"/>
        <v>-26.999999999999986</v>
      </c>
      <c r="AA30" s="4">
        <f t="shared" si="2"/>
        <v>-5</v>
      </c>
      <c r="AB30" s="4">
        <f t="shared" si="3"/>
        <v>-24.999999999999993</v>
      </c>
      <c r="AC30" s="13">
        <f t="shared" si="4"/>
        <v>2</v>
      </c>
      <c r="AD30" s="15">
        <f t="shared" si="5"/>
        <v>82.999999999999986</v>
      </c>
      <c r="AG30" s="18">
        <v>0</v>
      </c>
      <c r="AH30" s="19">
        <f t="shared" si="6"/>
        <v>30</v>
      </c>
      <c r="AI30" s="19">
        <v>210</v>
      </c>
      <c r="AJ30" s="19">
        <f t="shared" si="7"/>
        <v>240</v>
      </c>
      <c r="AK30" s="20">
        <f t="shared" si="14"/>
        <v>46</v>
      </c>
      <c r="AL30" s="19">
        <f t="shared" si="25"/>
        <v>46</v>
      </c>
      <c r="AM30" s="19">
        <f t="shared" si="16"/>
        <v>64</v>
      </c>
      <c r="AN30" s="19">
        <f t="shared" si="17"/>
        <v>64</v>
      </c>
      <c r="AO30" s="19">
        <f t="shared" si="26"/>
        <v>213</v>
      </c>
      <c r="AP30" s="19">
        <f t="shared" si="19"/>
        <v>156.5</v>
      </c>
      <c r="AQ30" s="19">
        <f t="shared" si="20"/>
        <v>215</v>
      </c>
      <c r="AR30" s="19">
        <f t="shared" si="21"/>
        <v>303</v>
      </c>
      <c r="AS30" s="47">
        <f t="shared" si="22"/>
        <v>-42.934999999999988</v>
      </c>
      <c r="AT30" s="77">
        <f t="shared" si="8"/>
        <v>-100</v>
      </c>
      <c r="AU30" s="77"/>
      <c r="AV30" s="77"/>
      <c r="AW30" s="77"/>
    </row>
    <row r="31" spans="1:49">
      <c r="A31" s="30">
        <f t="shared" si="0"/>
        <v>45838</v>
      </c>
      <c r="B31" s="31">
        <v>45838</v>
      </c>
      <c r="C31" s="32" t="s">
        <v>150</v>
      </c>
      <c r="D31" s="33">
        <v>0</v>
      </c>
      <c r="E31" s="35">
        <f t="shared" si="9"/>
        <v>2.0833333333333332E-2</v>
      </c>
      <c r="F31" s="34">
        <v>30</v>
      </c>
      <c r="G31" s="33">
        <v>0.16666666666666666</v>
      </c>
      <c r="H31" s="36">
        <f t="shared" si="10"/>
        <v>210</v>
      </c>
      <c r="I31" s="37">
        <f t="shared" si="11"/>
        <v>0.15416666666666665</v>
      </c>
      <c r="J31" s="4">
        <v>5</v>
      </c>
      <c r="K31" s="7"/>
      <c r="L31" s="78">
        <v>4.027777777777778E-2</v>
      </c>
      <c r="M31" s="76">
        <v>4.8611111111111112E-2</v>
      </c>
      <c r="N31" s="78">
        <v>0.15069444444444444</v>
      </c>
      <c r="O31" s="78">
        <v>0.15208333333333332</v>
      </c>
      <c r="P31" s="47">
        <v>2.1534200000000001</v>
      </c>
      <c r="Q31" t="s">
        <v>45</v>
      </c>
      <c r="R31" t="s">
        <v>45</v>
      </c>
      <c r="T31" t="s">
        <v>45</v>
      </c>
      <c r="U31" s="7"/>
      <c r="V31" s="13">
        <f t="shared" si="12"/>
        <v>11.999999999999996</v>
      </c>
      <c r="W31" s="13">
        <f t="shared" si="12"/>
        <v>147</v>
      </c>
      <c r="X31" s="40">
        <f t="shared" si="13"/>
        <v>58.000000000000007</v>
      </c>
      <c r="Y31" s="4">
        <f t="shared" si="13"/>
        <v>40</v>
      </c>
      <c r="Z31" s="4">
        <f t="shared" si="1"/>
        <v>-23</v>
      </c>
      <c r="AA31" s="4">
        <f t="shared" si="2"/>
        <v>-5</v>
      </c>
      <c r="AB31" s="4">
        <f t="shared" si="3"/>
        <v>-21.000000000000007</v>
      </c>
      <c r="AC31" s="13">
        <f t="shared" si="4"/>
        <v>2</v>
      </c>
      <c r="AD31" s="15">
        <f t="shared" si="5"/>
        <v>81</v>
      </c>
      <c r="AG31" s="18">
        <v>0</v>
      </c>
      <c r="AH31" s="19">
        <f t="shared" si="6"/>
        <v>30</v>
      </c>
      <c r="AI31" s="19">
        <v>210</v>
      </c>
      <c r="AJ31" s="19">
        <f t="shared" si="7"/>
        <v>240</v>
      </c>
      <c r="AK31" s="20">
        <f t="shared" si="14"/>
        <v>48.000000000000007</v>
      </c>
      <c r="AL31" s="19">
        <f t="shared" si="25"/>
        <v>48.000000000000007</v>
      </c>
      <c r="AM31" s="19">
        <f t="shared" si="16"/>
        <v>70</v>
      </c>
      <c r="AN31" s="19">
        <f t="shared" si="17"/>
        <v>70</v>
      </c>
      <c r="AO31" s="19">
        <f t="shared" si="26"/>
        <v>217</v>
      </c>
      <c r="AP31" s="19">
        <f t="shared" si="19"/>
        <v>158.5</v>
      </c>
      <c r="AQ31" s="19">
        <f t="shared" si="20"/>
        <v>219</v>
      </c>
      <c r="AR31" s="19">
        <f t="shared" si="21"/>
        <v>301</v>
      </c>
      <c r="AS31" s="47">
        <f t="shared" si="22"/>
        <v>-42.328999999999994</v>
      </c>
      <c r="AT31" s="77"/>
      <c r="AU31" s="77"/>
      <c r="AV31" s="77"/>
      <c r="AW31" s="77"/>
    </row>
    <row r="32" spans="1:49">
      <c r="A32" s="30"/>
      <c r="B32" s="31"/>
      <c r="C32" s="32"/>
      <c r="D32" s="33"/>
      <c r="E32" s="35"/>
      <c r="F32" s="34"/>
      <c r="G32" s="33"/>
      <c r="H32" s="36"/>
      <c r="I32" s="37"/>
      <c r="J32" s="4"/>
      <c r="L32" s="39"/>
      <c r="M32" s="39"/>
      <c r="N32" s="39"/>
      <c r="O32" s="39"/>
      <c r="P32" s="47"/>
      <c r="V32" s="13"/>
      <c r="W32" s="13"/>
      <c r="X32" s="40"/>
      <c r="Y32" s="4"/>
      <c r="Z32" s="4"/>
      <c r="AA32" s="4"/>
      <c r="AB32" s="4"/>
      <c r="AC32" s="13"/>
      <c r="AD32" s="15"/>
      <c r="AG32" s="18"/>
      <c r="AH32" s="19"/>
      <c r="AI32" s="19"/>
      <c r="AJ32" s="19"/>
      <c r="AK32" s="20"/>
      <c r="AL32" s="19"/>
      <c r="AM32" s="19"/>
      <c r="AN32" s="19"/>
      <c r="AO32" s="19"/>
      <c r="AP32" s="19"/>
      <c r="AQ32" s="19"/>
      <c r="AR32" s="19"/>
      <c r="AS32" s="47"/>
      <c r="AT32" s="77"/>
      <c r="AU32" s="77"/>
      <c r="AV32" s="77"/>
      <c r="AW32" s="77"/>
    </row>
    <row r="33" spans="4:44">
      <c r="L33" s="5">
        <f>AVERAGE(L2:L32)</f>
        <v>3.530092592592593E-2</v>
      </c>
      <c r="M33" s="5">
        <f>AVERAGE(M2:M32)</f>
        <v>4.5162037037037042E-2</v>
      </c>
      <c r="N33" s="5">
        <f>AVERAGE(N2:N32)</f>
        <v>0.13631944444444447</v>
      </c>
      <c r="O33" s="38">
        <f>AVERAGE(O2:O32)</f>
        <v>0.13787037037037037</v>
      </c>
      <c r="P33" s="48">
        <f>AVERAGE(P2:P32)</f>
        <v>2.1108919999999993</v>
      </c>
      <c r="Q33" s="48"/>
      <c r="R33" s="48"/>
      <c r="S33" s="48"/>
      <c r="T33" s="48"/>
      <c r="V33" s="16">
        <f>AVERAGE(V2:V32)</f>
        <v>14.2</v>
      </c>
      <c r="W33" s="14">
        <f>AVERAGE(W2:W32)</f>
        <v>131.26666666666668</v>
      </c>
      <c r="X33" s="16">
        <f>AVERAGE(X2:X32)</f>
        <v>50.833333333333336</v>
      </c>
      <c r="AD33" s="14">
        <f>AVERAGE(AD2:AD32)</f>
        <v>94.533333333333317</v>
      </c>
    </row>
    <row r="34" spans="4:44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</row>
    <row r="36" spans="4:44">
      <c r="D36" s="2"/>
    </row>
    <row r="37" spans="4:44">
      <c r="D37" s="2"/>
    </row>
    <row r="38" spans="4:44">
      <c r="D38" s="2"/>
    </row>
    <row r="39" spans="4:44">
      <c r="D39" s="2"/>
    </row>
    <row r="40" spans="4:44">
      <c r="D40" s="2"/>
    </row>
    <row r="41" spans="4:44">
      <c r="D41" s="2"/>
    </row>
    <row r="42" spans="4:44">
      <c r="D42" s="2"/>
    </row>
    <row r="43" spans="4:44">
      <c r="D43" s="2"/>
    </row>
    <row r="44" spans="4:44">
      <c r="D44" s="2"/>
    </row>
    <row r="45" spans="4:44">
      <c r="D45" s="2"/>
    </row>
    <row r="46" spans="4:44">
      <c r="D46" s="2"/>
    </row>
    <row r="47" spans="4:44">
      <c r="D47" s="2"/>
    </row>
    <row r="48" spans="4:44">
      <c r="D48" s="2"/>
    </row>
  </sheetData>
  <autoFilter ref="B1:Z1" xr:uid="{00000000-0001-0000-0000-000000000000}"/>
  <mergeCells count="1">
    <mergeCell ref="AG34:AR34"/>
  </mergeCells>
  <conditionalFormatting sqref="V2:V32">
    <cfRule type="cellIs" dxfId="68" priority="5" operator="greaterThan">
      <formula>$F$2</formula>
    </cfRule>
    <cfRule type="cellIs" dxfId="67" priority="6" operator="lessThanOrEqual">
      <formula>$F$2</formula>
    </cfRule>
  </conditionalFormatting>
  <conditionalFormatting sqref="W2:W32">
    <cfRule type="cellIs" dxfId="66" priority="3" operator="greaterThan">
      <formula>$H$2</formula>
    </cfRule>
    <cfRule type="cellIs" dxfId="65" priority="4" operator="lessThanOrEqual">
      <formula>$H$2</formula>
    </cfRule>
  </conditionalFormatting>
  <conditionalFormatting sqref="AC2:AC32">
    <cfRule type="cellIs" dxfId="64" priority="2" operator="greaterThan">
      <formula>5</formula>
    </cfRule>
  </conditionalFormatting>
  <conditionalFormatting sqref="AD2:AD32 P2:T33 V33">
    <cfRule type="cellIs" dxfId="63" priority="1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70A0-3F7C-475F-8DDF-685C7E7AE78D}">
  <dimension ref="A1:AV48"/>
  <sheetViews>
    <sheetView showGridLines="0" topLeftCell="J1" zoomScale="69" workbookViewId="0">
      <pane ySplit="1" topLeftCell="A7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151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152</v>
      </c>
      <c r="AV1" s="44" t="s">
        <v>42</v>
      </c>
    </row>
    <row r="2" spans="1:48">
      <c r="A2" s="30">
        <f t="shared" ref="A2:A31" si="0">B2</f>
        <v>45809</v>
      </c>
      <c r="B2" s="31">
        <v>45809</v>
      </c>
      <c r="C2" s="32" t="s">
        <v>153</v>
      </c>
      <c r="D2" s="33">
        <v>0</v>
      </c>
      <c r="E2" s="35">
        <f>(D2+(TIME(0,F2,0)))</f>
        <v>2.0833333333333332E-2</v>
      </c>
      <c r="F2" s="34">
        <v>30</v>
      </c>
      <c r="G2" s="33">
        <v>0.17708333333333334</v>
      </c>
      <c r="H2" s="36">
        <f>((G2-D2)*1440)-F2</f>
        <v>225</v>
      </c>
      <c r="I2" s="37">
        <f>(N2+(TIME(0,J2,0)))</f>
        <v>0.15833333333333333</v>
      </c>
      <c r="J2" s="4">
        <v>5</v>
      </c>
      <c r="K2" s="7"/>
      <c r="L2" s="79">
        <v>1.5972222222222224E-2</v>
      </c>
      <c r="M2" s="50">
        <v>2.9861111111111113E-2</v>
      </c>
      <c r="N2" s="50">
        <v>0.15486111111111112</v>
      </c>
      <c r="O2" s="50">
        <v>0.15694444444444444</v>
      </c>
      <c r="P2" s="47">
        <v>0.75799000000000005</v>
      </c>
      <c r="Q2" t="s">
        <v>44</v>
      </c>
      <c r="R2" t="s">
        <v>45</v>
      </c>
      <c r="S2" t="s">
        <v>45</v>
      </c>
      <c r="T2" t="s">
        <v>45</v>
      </c>
      <c r="U2" s="7"/>
      <c r="V2" s="13">
        <f>((M2-L2)*1440)</f>
        <v>20</v>
      </c>
      <c r="W2" s="13">
        <f>((N2-M2)*1440)</f>
        <v>180</v>
      </c>
      <c r="X2" s="40">
        <f>((L2-D2)*1440)</f>
        <v>23.000000000000004</v>
      </c>
      <c r="Y2" s="4">
        <f>((M2-E2)*1440)</f>
        <v>13.000000000000004</v>
      </c>
      <c r="Z2" s="4">
        <f t="shared" ref="Z2:Z31" si="1">((N2-G2)*1440)</f>
        <v>-32.000000000000007</v>
      </c>
      <c r="AA2" s="4">
        <f t="shared" ref="AA2:AA31" si="2">W2-(H2-X2)</f>
        <v>-22</v>
      </c>
      <c r="AB2" s="4">
        <f t="shared" ref="AB2:AB31" si="3">((O2-G2)*1440)</f>
        <v>-29.000000000000018</v>
      </c>
      <c r="AC2" s="13">
        <f t="shared" ref="AC2:AC31" si="4">ROUND((O2-N2)*1440,0)</f>
        <v>3</v>
      </c>
      <c r="AD2" s="15">
        <f t="shared" ref="AD2:AD31" si="5">(Z2*-1)+X2</f>
        <v>55.000000000000014</v>
      </c>
      <c r="AG2" s="18">
        <v>0</v>
      </c>
      <c r="AH2" s="19">
        <f t="shared" ref="AH2:AH31" si="6">AG2+F2</f>
        <v>30</v>
      </c>
      <c r="AI2" s="19">
        <f t="shared" ref="AI2:AI31" si="7">AG2+H2+AH2</f>
        <v>255</v>
      </c>
      <c r="AJ2" s="20">
        <f>AG2+X2-10</f>
        <v>13.000000000000004</v>
      </c>
      <c r="AK2" s="19">
        <f>AJ2</f>
        <v>13.000000000000004</v>
      </c>
      <c r="AL2" s="19">
        <f>AM2</f>
        <v>43</v>
      </c>
      <c r="AM2" s="19">
        <f>AH2+Y2</f>
        <v>43</v>
      </c>
      <c r="AN2" s="19">
        <f t="shared" ref="AN2:AN15" si="8">AM2+W2</f>
        <v>223</v>
      </c>
      <c r="AO2" s="19">
        <f>(AN2/2)+50</f>
        <v>161.5</v>
      </c>
      <c r="AP2" s="19">
        <f>AN2+AC2</f>
        <v>226</v>
      </c>
      <c r="AQ2" s="19">
        <f>AD2+350</f>
        <v>405</v>
      </c>
      <c r="AR2" s="47">
        <f>(P2*50)-250</f>
        <v>-212.10050000000001</v>
      </c>
      <c r="AS2">
        <f>IF(Q2="Yes",-255,0)</f>
        <v>-255</v>
      </c>
    </row>
    <row r="3" spans="1:48">
      <c r="A3" s="30">
        <f t="shared" si="0"/>
        <v>45810</v>
      </c>
      <c r="B3" s="31">
        <v>45810</v>
      </c>
      <c r="C3" s="32" t="s">
        <v>153</v>
      </c>
      <c r="D3" s="33">
        <v>0</v>
      </c>
      <c r="E3" s="35">
        <f t="shared" ref="E3:E31" si="9">(D3+(TIME(0,F3,0)))</f>
        <v>2.0833333333333332E-2</v>
      </c>
      <c r="F3" s="34">
        <v>30</v>
      </c>
      <c r="G3" s="33">
        <v>0.17708333333333334</v>
      </c>
      <c r="H3" s="36">
        <f t="shared" ref="H3:H31" si="10">((G3-D3)*1440)-F3</f>
        <v>225</v>
      </c>
      <c r="I3" s="37">
        <f t="shared" ref="I3:I31" si="11">(N3+(TIME(0,J3,0)))</f>
        <v>0.16111111111111109</v>
      </c>
      <c r="J3" s="4">
        <v>5</v>
      </c>
      <c r="K3" s="7"/>
      <c r="L3" s="79">
        <v>1.8749999999999999E-2</v>
      </c>
      <c r="M3" s="50">
        <v>3.2638888888888891E-2</v>
      </c>
      <c r="N3" s="50">
        <v>0.15763888888888888</v>
      </c>
      <c r="O3" s="50">
        <v>0.15902777777777777</v>
      </c>
      <c r="P3" s="47">
        <v>0.75407000000000002</v>
      </c>
      <c r="Q3" t="s">
        <v>45</v>
      </c>
      <c r="R3" t="s">
        <v>44</v>
      </c>
      <c r="S3" t="s">
        <v>45</v>
      </c>
      <c r="T3" t="s">
        <v>45</v>
      </c>
      <c r="U3" s="7"/>
      <c r="V3" s="13">
        <f t="shared" ref="V3:W31" si="12">((M3-L3)*1440)</f>
        <v>20.000000000000004</v>
      </c>
      <c r="W3" s="13">
        <f t="shared" si="12"/>
        <v>180</v>
      </c>
      <c r="X3" s="40">
        <f t="shared" ref="X3:Y31" si="13">((L3-D3)*1440)</f>
        <v>27</v>
      </c>
      <c r="Y3" s="4">
        <f t="shared" si="13"/>
        <v>17.000000000000004</v>
      </c>
      <c r="Z3" s="4">
        <f t="shared" si="1"/>
        <v>-28.000000000000021</v>
      </c>
      <c r="AA3" s="4">
        <f t="shared" si="2"/>
        <v>-18</v>
      </c>
      <c r="AB3" s="4">
        <f t="shared" si="3"/>
        <v>-26.000000000000028</v>
      </c>
      <c r="AC3" s="13">
        <f t="shared" si="4"/>
        <v>2</v>
      </c>
      <c r="AD3" s="15">
        <f t="shared" si="5"/>
        <v>55.000000000000021</v>
      </c>
      <c r="AG3" s="18">
        <v>0</v>
      </c>
      <c r="AH3" s="19">
        <f t="shared" si="6"/>
        <v>30</v>
      </c>
      <c r="AI3" s="19">
        <f t="shared" si="7"/>
        <v>255</v>
      </c>
      <c r="AJ3" s="20">
        <f t="shared" ref="AJ3:AJ31" si="14">AG3+X3-10</f>
        <v>17</v>
      </c>
      <c r="AK3" s="19">
        <f t="shared" ref="AK3:AK19" si="15">AJ3</f>
        <v>17</v>
      </c>
      <c r="AL3" s="19">
        <f t="shared" ref="AL3:AL31" si="16">AM3</f>
        <v>47</v>
      </c>
      <c r="AM3" s="19">
        <f t="shared" ref="AM3:AM31" si="17">AH3+Y3</f>
        <v>47</v>
      </c>
      <c r="AN3" s="19">
        <f t="shared" si="8"/>
        <v>227</v>
      </c>
      <c r="AO3" s="19">
        <f t="shared" ref="AO3:AO31" si="18">(AN3/2)+50</f>
        <v>163.5</v>
      </c>
      <c r="AP3" s="19">
        <f t="shared" ref="AP3:AP31" si="19">AN3+AC3</f>
        <v>229</v>
      </c>
      <c r="AQ3" s="19">
        <f t="shared" ref="AQ3:AQ31" si="20">AD3+350</f>
        <v>405</v>
      </c>
      <c r="AR3" s="47">
        <f t="shared" ref="AR3:AR31" si="21">(P3*50)-250</f>
        <v>-212.29650000000001</v>
      </c>
      <c r="AT3">
        <f t="shared" ref="AT3:AT26" si="22">IF(R3="Yes",-255,0)</f>
        <v>-255</v>
      </c>
    </row>
    <row r="4" spans="1:48">
      <c r="A4" s="30">
        <f t="shared" si="0"/>
        <v>45811</v>
      </c>
      <c r="B4" s="31">
        <v>45811</v>
      </c>
      <c r="C4" s="32" t="s">
        <v>153</v>
      </c>
      <c r="D4" s="33">
        <v>0</v>
      </c>
      <c r="E4" s="35">
        <f t="shared" si="9"/>
        <v>2.0833333333333332E-2</v>
      </c>
      <c r="F4" s="34">
        <v>30</v>
      </c>
      <c r="G4" s="33">
        <v>0.17708333333333334</v>
      </c>
      <c r="H4" s="36">
        <f t="shared" si="10"/>
        <v>225</v>
      </c>
      <c r="I4" s="37">
        <f t="shared" si="11"/>
        <v>0.16319444444444445</v>
      </c>
      <c r="J4" s="4">
        <v>5</v>
      </c>
      <c r="K4" s="7"/>
      <c r="L4" s="79">
        <v>3.125E-2</v>
      </c>
      <c r="M4" s="50">
        <v>4.5138888888888888E-2</v>
      </c>
      <c r="N4" s="50">
        <v>0.15972222222222224</v>
      </c>
      <c r="O4" s="50">
        <v>0.16111111111111112</v>
      </c>
      <c r="P4" s="80">
        <v>0.72594999999999998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12"/>
        <v>20</v>
      </c>
      <c r="W4" s="13">
        <f t="shared" si="12"/>
        <v>165</v>
      </c>
      <c r="X4" s="40">
        <f t="shared" si="13"/>
        <v>45</v>
      </c>
      <c r="Y4" s="4">
        <f t="shared" si="13"/>
        <v>35</v>
      </c>
      <c r="Z4" s="4">
        <f t="shared" si="1"/>
        <v>-24.999999999999993</v>
      </c>
      <c r="AA4" s="4">
        <f t="shared" si="2"/>
        <v>-15</v>
      </c>
      <c r="AB4" s="4">
        <f t="shared" si="3"/>
        <v>-23</v>
      </c>
      <c r="AC4" s="13">
        <f t="shared" si="4"/>
        <v>2</v>
      </c>
      <c r="AD4" s="15">
        <f t="shared" si="5"/>
        <v>70</v>
      </c>
      <c r="AG4" s="18">
        <v>0</v>
      </c>
      <c r="AH4" s="19">
        <f t="shared" si="6"/>
        <v>30</v>
      </c>
      <c r="AI4" s="19">
        <f t="shared" si="7"/>
        <v>255</v>
      </c>
      <c r="AJ4" s="20">
        <f t="shared" si="14"/>
        <v>35</v>
      </c>
      <c r="AK4" s="19">
        <f t="shared" si="15"/>
        <v>35</v>
      </c>
      <c r="AL4" s="19">
        <f t="shared" si="16"/>
        <v>65</v>
      </c>
      <c r="AM4" s="19">
        <f t="shared" si="17"/>
        <v>65</v>
      </c>
      <c r="AN4" s="19">
        <f t="shared" si="8"/>
        <v>230</v>
      </c>
      <c r="AO4" s="19">
        <f t="shared" si="18"/>
        <v>165</v>
      </c>
      <c r="AP4" s="19">
        <f t="shared" si="19"/>
        <v>232</v>
      </c>
      <c r="AQ4" s="19">
        <f t="shared" si="20"/>
        <v>420</v>
      </c>
      <c r="AR4" s="47">
        <f t="shared" si="21"/>
        <v>-213.70249999999999</v>
      </c>
    </row>
    <row r="5" spans="1:48">
      <c r="A5" s="30">
        <f t="shared" si="0"/>
        <v>45812</v>
      </c>
      <c r="B5" s="31">
        <v>45812</v>
      </c>
      <c r="C5" s="32" t="s">
        <v>153</v>
      </c>
      <c r="D5" s="33">
        <v>0</v>
      </c>
      <c r="E5" s="35">
        <f t="shared" si="9"/>
        <v>2.0833333333333332E-2</v>
      </c>
      <c r="F5" s="34">
        <v>30</v>
      </c>
      <c r="G5" s="33">
        <v>0.17708333333333334</v>
      </c>
      <c r="H5" s="36">
        <f t="shared" si="10"/>
        <v>225</v>
      </c>
      <c r="I5" s="37">
        <f t="shared" si="11"/>
        <v>0.16666666666666666</v>
      </c>
      <c r="J5" s="4">
        <v>5</v>
      </c>
      <c r="K5" s="7"/>
      <c r="L5" s="79">
        <v>4.3750000000000004E-2</v>
      </c>
      <c r="M5" s="50">
        <v>5.347222222222222E-2</v>
      </c>
      <c r="N5" s="50">
        <v>0.16319444444444445</v>
      </c>
      <c r="O5" s="50">
        <v>0.16458333333333333</v>
      </c>
      <c r="P5" s="47">
        <v>0.68732000000000004</v>
      </c>
      <c r="Q5" t="s">
        <v>44</v>
      </c>
      <c r="R5" t="s">
        <v>45</v>
      </c>
      <c r="S5" t="s">
        <v>45</v>
      </c>
      <c r="T5" t="s">
        <v>45</v>
      </c>
      <c r="U5" s="7"/>
      <c r="V5" s="13">
        <f t="shared" si="12"/>
        <v>13.999999999999989</v>
      </c>
      <c r="W5" s="13">
        <f t="shared" si="12"/>
        <v>158</v>
      </c>
      <c r="X5" s="40">
        <f t="shared" si="13"/>
        <v>63.000000000000007</v>
      </c>
      <c r="Y5" s="4">
        <f t="shared" si="13"/>
        <v>46.999999999999993</v>
      </c>
      <c r="Z5" s="4">
        <f t="shared" si="1"/>
        <v>-20.000000000000007</v>
      </c>
      <c r="AA5" s="4">
        <f t="shared" si="2"/>
        <v>-4</v>
      </c>
      <c r="AB5" s="4">
        <f t="shared" si="3"/>
        <v>-18.000000000000014</v>
      </c>
      <c r="AC5" s="13">
        <f t="shared" si="4"/>
        <v>2</v>
      </c>
      <c r="AD5" s="15">
        <f t="shared" si="5"/>
        <v>83.000000000000014</v>
      </c>
      <c r="AG5" s="18">
        <v>0</v>
      </c>
      <c r="AH5" s="19">
        <f t="shared" si="6"/>
        <v>30</v>
      </c>
      <c r="AI5" s="19">
        <f t="shared" si="7"/>
        <v>255</v>
      </c>
      <c r="AJ5" s="20">
        <f t="shared" si="14"/>
        <v>53.000000000000007</v>
      </c>
      <c r="AK5" s="19">
        <f t="shared" si="15"/>
        <v>53.000000000000007</v>
      </c>
      <c r="AL5" s="19">
        <f t="shared" si="16"/>
        <v>77</v>
      </c>
      <c r="AM5" s="19">
        <f t="shared" si="17"/>
        <v>77</v>
      </c>
      <c r="AN5" s="19">
        <f t="shared" si="8"/>
        <v>235</v>
      </c>
      <c r="AO5" s="19">
        <f t="shared" si="18"/>
        <v>167.5</v>
      </c>
      <c r="AP5" s="19">
        <f t="shared" si="19"/>
        <v>237</v>
      </c>
      <c r="AQ5" s="19">
        <f t="shared" si="20"/>
        <v>433</v>
      </c>
      <c r="AR5" s="47">
        <f t="shared" si="21"/>
        <v>-215.63400000000001</v>
      </c>
      <c r="AS5">
        <f t="shared" ref="AS5:AS29" si="23">IF(Q5="Yes",-255,0)</f>
        <v>-255</v>
      </c>
    </row>
    <row r="6" spans="1:48">
      <c r="A6" s="30">
        <f t="shared" si="0"/>
        <v>45813</v>
      </c>
      <c r="B6" s="31">
        <v>45813</v>
      </c>
      <c r="C6" s="32" t="s">
        <v>153</v>
      </c>
      <c r="D6" s="33">
        <v>0</v>
      </c>
      <c r="E6" s="35">
        <f t="shared" si="9"/>
        <v>2.0833333333333332E-2</v>
      </c>
      <c r="F6" s="34">
        <v>30</v>
      </c>
      <c r="G6" s="33">
        <v>0.17708333333333334</v>
      </c>
      <c r="H6" s="36">
        <f t="shared" si="10"/>
        <v>225</v>
      </c>
      <c r="I6" s="37">
        <f t="shared" si="11"/>
        <v>0.17013888888888887</v>
      </c>
      <c r="J6" s="4">
        <v>5</v>
      </c>
      <c r="K6" s="7"/>
      <c r="L6" s="79">
        <v>2.1527777777777781E-2</v>
      </c>
      <c r="M6" s="50">
        <v>3.4722222222222224E-2</v>
      </c>
      <c r="N6" s="50">
        <v>0.16666666666666666</v>
      </c>
      <c r="O6" s="50">
        <v>0.16944444444444445</v>
      </c>
      <c r="P6" s="47">
        <v>0.63336000000000003</v>
      </c>
      <c r="Q6" t="s">
        <v>45</v>
      </c>
      <c r="R6" t="s">
        <v>44</v>
      </c>
      <c r="S6" t="s">
        <v>45</v>
      </c>
      <c r="T6" t="s">
        <v>45</v>
      </c>
      <c r="U6" s="7"/>
      <c r="V6" s="13">
        <f t="shared" si="12"/>
        <v>18.999999999999996</v>
      </c>
      <c r="W6" s="13">
        <f t="shared" si="12"/>
        <v>189.99999999999997</v>
      </c>
      <c r="X6" s="40">
        <f t="shared" si="13"/>
        <v>31.000000000000004</v>
      </c>
      <c r="Y6" s="4">
        <f t="shared" si="13"/>
        <v>20.000000000000004</v>
      </c>
      <c r="Z6" s="4">
        <f t="shared" si="1"/>
        <v>-15.000000000000027</v>
      </c>
      <c r="AA6" s="4">
        <f t="shared" si="2"/>
        <v>-4.0000000000000284</v>
      </c>
      <c r="AB6" s="4">
        <f t="shared" si="3"/>
        <v>-11</v>
      </c>
      <c r="AC6" s="13">
        <f t="shared" si="4"/>
        <v>4</v>
      </c>
      <c r="AD6" s="15">
        <f t="shared" si="5"/>
        <v>46.000000000000028</v>
      </c>
      <c r="AG6" s="18">
        <v>0</v>
      </c>
      <c r="AH6" s="19">
        <f t="shared" si="6"/>
        <v>30</v>
      </c>
      <c r="AI6" s="19">
        <f t="shared" si="7"/>
        <v>255</v>
      </c>
      <c r="AJ6" s="20">
        <f t="shared" si="14"/>
        <v>21.000000000000004</v>
      </c>
      <c r="AK6" s="19">
        <f t="shared" si="15"/>
        <v>21.000000000000004</v>
      </c>
      <c r="AL6" s="19">
        <f t="shared" si="16"/>
        <v>50</v>
      </c>
      <c r="AM6" s="19">
        <f t="shared" si="17"/>
        <v>50</v>
      </c>
      <c r="AN6" s="19">
        <f t="shared" si="8"/>
        <v>239.99999999999997</v>
      </c>
      <c r="AO6" s="19">
        <f t="shared" si="18"/>
        <v>170</v>
      </c>
      <c r="AP6" s="19">
        <f t="shared" si="19"/>
        <v>243.99999999999997</v>
      </c>
      <c r="AQ6" s="19">
        <f t="shared" si="20"/>
        <v>396</v>
      </c>
      <c r="AR6" s="47">
        <f t="shared" si="21"/>
        <v>-218.33199999999999</v>
      </c>
      <c r="AT6">
        <f t="shared" si="22"/>
        <v>-255</v>
      </c>
    </row>
    <row r="7" spans="1:48">
      <c r="A7" s="30">
        <f t="shared" si="0"/>
        <v>45814</v>
      </c>
      <c r="B7" s="31">
        <v>45814</v>
      </c>
      <c r="C7" s="32" t="s">
        <v>153</v>
      </c>
      <c r="D7" s="33">
        <v>0</v>
      </c>
      <c r="E7" s="35">
        <f t="shared" si="9"/>
        <v>2.0833333333333332E-2</v>
      </c>
      <c r="F7" s="34">
        <v>30</v>
      </c>
      <c r="G7" s="33">
        <v>0.17708333333333334</v>
      </c>
      <c r="H7" s="36">
        <f t="shared" si="10"/>
        <v>225</v>
      </c>
      <c r="I7" s="37">
        <f t="shared" si="11"/>
        <v>0.15624999999999997</v>
      </c>
      <c r="J7" s="4">
        <v>5</v>
      </c>
      <c r="K7" s="7"/>
      <c r="L7" s="79">
        <v>1.5277777777777777E-2</v>
      </c>
      <c r="M7" s="50">
        <v>3.125E-2</v>
      </c>
      <c r="N7" s="50">
        <v>0.15277777777777776</v>
      </c>
      <c r="O7" s="50">
        <v>0.15486111111111112</v>
      </c>
      <c r="P7" s="47">
        <v>0.74456999999999995</v>
      </c>
      <c r="Q7" t="s">
        <v>45</v>
      </c>
      <c r="R7" t="s">
        <v>45</v>
      </c>
      <c r="S7" t="s">
        <v>45</v>
      </c>
      <c r="T7" t="s">
        <v>45</v>
      </c>
      <c r="U7" s="7"/>
      <c r="V7" s="13">
        <f t="shared" si="12"/>
        <v>23</v>
      </c>
      <c r="W7" s="13">
        <f t="shared" si="12"/>
        <v>174.99999999999997</v>
      </c>
      <c r="X7" s="40">
        <f t="shared" si="13"/>
        <v>22</v>
      </c>
      <c r="Y7" s="4">
        <f t="shared" si="13"/>
        <v>15.000000000000002</v>
      </c>
      <c r="Z7" s="4">
        <f t="shared" si="1"/>
        <v>-35.000000000000036</v>
      </c>
      <c r="AA7" s="4">
        <f t="shared" si="2"/>
        <v>-28.000000000000028</v>
      </c>
      <c r="AB7" s="4">
        <f t="shared" si="3"/>
        <v>-32.000000000000007</v>
      </c>
      <c r="AC7" s="13">
        <f t="shared" si="4"/>
        <v>3</v>
      </c>
      <c r="AD7" s="15">
        <f t="shared" si="5"/>
        <v>57.000000000000036</v>
      </c>
      <c r="AG7" s="18">
        <v>0</v>
      </c>
      <c r="AH7" s="19">
        <f t="shared" si="6"/>
        <v>30</v>
      </c>
      <c r="AI7" s="19">
        <f t="shared" si="7"/>
        <v>255</v>
      </c>
      <c r="AJ7" s="20">
        <f t="shared" si="14"/>
        <v>12</v>
      </c>
      <c r="AK7" s="19">
        <f t="shared" si="15"/>
        <v>12</v>
      </c>
      <c r="AL7" s="19">
        <f t="shared" si="16"/>
        <v>45</v>
      </c>
      <c r="AM7" s="19">
        <f t="shared" si="17"/>
        <v>45</v>
      </c>
      <c r="AN7" s="19">
        <f t="shared" si="8"/>
        <v>219.99999999999997</v>
      </c>
      <c r="AO7" s="19">
        <f t="shared" si="18"/>
        <v>160</v>
      </c>
      <c r="AP7" s="19">
        <f t="shared" si="19"/>
        <v>222.99999999999997</v>
      </c>
      <c r="AQ7" s="19">
        <f t="shared" si="20"/>
        <v>407.00000000000006</v>
      </c>
      <c r="AR7" s="47">
        <f t="shared" si="21"/>
        <v>-212.7715</v>
      </c>
    </row>
    <row r="8" spans="1:48">
      <c r="A8" s="30">
        <f t="shared" si="0"/>
        <v>45815</v>
      </c>
      <c r="B8" s="31">
        <v>45815</v>
      </c>
      <c r="C8" s="32" t="s">
        <v>153</v>
      </c>
      <c r="D8" s="33">
        <v>0</v>
      </c>
      <c r="E8" s="35">
        <f t="shared" si="9"/>
        <v>2.0833333333333332E-2</v>
      </c>
      <c r="F8" s="34">
        <v>30</v>
      </c>
      <c r="G8" s="33">
        <v>0.17708333333333334</v>
      </c>
      <c r="H8" s="36">
        <f t="shared" si="10"/>
        <v>225</v>
      </c>
      <c r="I8" s="37">
        <f t="shared" si="11"/>
        <v>0.14930555555555555</v>
      </c>
      <c r="J8" s="4">
        <v>5</v>
      </c>
      <c r="K8" s="7"/>
      <c r="L8" s="79">
        <v>4.8611111111111112E-3</v>
      </c>
      <c r="M8" s="50">
        <v>2.0833333333333332E-2</v>
      </c>
      <c r="N8" s="50">
        <v>0.14583333333333334</v>
      </c>
      <c r="O8" s="50">
        <v>0.14722222222222223</v>
      </c>
      <c r="P8" s="47">
        <v>0.74722999999999995</v>
      </c>
      <c r="Q8" t="s">
        <v>45</v>
      </c>
      <c r="R8" t="s">
        <v>45</v>
      </c>
      <c r="S8" t="s">
        <v>45</v>
      </c>
      <c r="T8" t="s">
        <v>45</v>
      </c>
      <c r="U8" s="7"/>
      <c r="V8" s="13">
        <f t="shared" si="12"/>
        <v>23</v>
      </c>
      <c r="W8" s="13">
        <f t="shared" si="12"/>
        <v>180</v>
      </c>
      <c r="X8" s="40">
        <f t="shared" si="13"/>
        <v>7</v>
      </c>
      <c r="Y8" s="4">
        <f t="shared" si="13"/>
        <v>0</v>
      </c>
      <c r="Z8" s="4">
        <f t="shared" si="1"/>
        <v>-45</v>
      </c>
      <c r="AA8" s="4">
        <f t="shared" si="2"/>
        <v>-38</v>
      </c>
      <c r="AB8" s="4">
        <f t="shared" si="3"/>
        <v>-43.000000000000007</v>
      </c>
      <c r="AC8" s="13">
        <f t="shared" si="4"/>
        <v>2</v>
      </c>
      <c r="AD8" s="15">
        <f t="shared" si="5"/>
        <v>52</v>
      </c>
      <c r="AG8" s="18">
        <v>0</v>
      </c>
      <c r="AH8" s="19">
        <f t="shared" si="6"/>
        <v>30</v>
      </c>
      <c r="AI8" s="19">
        <f t="shared" si="7"/>
        <v>255</v>
      </c>
      <c r="AJ8" s="20">
        <f t="shared" si="14"/>
        <v>-3</v>
      </c>
      <c r="AK8" s="19">
        <f t="shared" si="15"/>
        <v>-3</v>
      </c>
      <c r="AL8" s="19">
        <f t="shared" si="16"/>
        <v>30</v>
      </c>
      <c r="AM8" s="19">
        <f t="shared" si="17"/>
        <v>30</v>
      </c>
      <c r="AN8" s="19">
        <f t="shared" si="8"/>
        <v>210</v>
      </c>
      <c r="AO8" s="19">
        <f t="shared" si="18"/>
        <v>155</v>
      </c>
      <c r="AP8" s="19">
        <f t="shared" si="19"/>
        <v>212</v>
      </c>
      <c r="AQ8" s="19">
        <f t="shared" si="20"/>
        <v>402</v>
      </c>
      <c r="AR8" s="47">
        <f t="shared" si="21"/>
        <v>-212.63849999999999</v>
      </c>
    </row>
    <row r="9" spans="1:48">
      <c r="A9" s="30">
        <f t="shared" si="0"/>
        <v>45816</v>
      </c>
      <c r="B9" s="31">
        <v>45816</v>
      </c>
      <c r="C9" s="32" t="s">
        <v>153</v>
      </c>
      <c r="D9" s="33">
        <v>0</v>
      </c>
      <c r="E9" s="35">
        <f t="shared" si="9"/>
        <v>2.0833333333333332E-2</v>
      </c>
      <c r="F9" s="34">
        <v>30</v>
      </c>
      <c r="G9" s="33">
        <v>0.17708333333333334</v>
      </c>
      <c r="H9" s="36">
        <f t="shared" si="10"/>
        <v>225</v>
      </c>
      <c r="I9" s="37">
        <f t="shared" si="11"/>
        <v>0.16319444444444445</v>
      </c>
      <c r="J9" s="4">
        <v>5</v>
      </c>
      <c r="K9" s="7"/>
      <c r="L9" s="79">
        <v>1.8749999999999999E-2</v>
      </c>
      <c r="M9" s="50">
        <v>3.4722222222222224E-2</v>
      </c>
      <c r="N9" s="50">
        <v>0.15972222222222224</v>
      </c>
      <c r="O9" s="50">
        <v>0.16250000000000001</v>
      </c>
      <c r="P9" s="47">
        <v>0.72774000000000005</v>
      </c>
      <c r="Q9" t="s">
        <v>45</v>
      </c>
      <c r="R9" t="s">
        <v>45</v>
      </c>
      <c r="S9" t="s">
        <v>45</v>
      </c>
      <c r="T9" t="s">
        <v>45</v>
      </c>
      <c r="U9" s="7"/>
      <c r="V9" s="13">
        <f t="shared" si="12"/>
        <v>23.000000000000004</v>
      </c>
      <c r="W9" s="13">
        <f t="shared" si="12"/>
        <v>180</v>
      </c>
      <c r="X9" s="40">
        <f t="shared" si="13"/>
        <v>27</v>
      </c>
      <c r="Y9" s="4">
        <f t="shared" si="13"/>
        <v>20.000000000000004</v>
      </c>
      <c r="Z9" s="4">
        <f t="shared" si="1"/>
        <v>-24.999999999999993</v>
      </c>
      <c r="AA9" s="4">
        <f t="shared" si="2"/>
        <v>-18</v>
      </c>
      <c r="AB9" s="4">
        <f t="shared" si="3"/>
        <v>-21.000000000000007</v>
      </c>
      <c r="AC9" s="13">
        <f t="shared" si="4"/>
        <v>4</v>
      </c>
      <c r="AD9" s="15">
        <f t="shared" si="5"/>
        <v>51.999999999999993</v>
      </c>
      <c r="AG9" s="18">
        <v>0</v>
      </c>
      <c r="AH9" s="19">
        <f t="shared" si="6"/>
        <v>30</v>
      </c>
      <c r="AI9" s="19">
        <f t="shared" si="7"/>
        <v>255</v>
      </c>
      <c r="AJ9" s="20">
        <f t="shared" si="14"/>
        <v>17</v>
      </c>
      <c r="AK9" s="19">
        <f t="shared" si="15"/>
        <v>17</v>
      </c>
      <c r="AL9" s="19">
        <f t="shared" si="16"/>
        <v>50</v>
      </c>
      <c r="AM9" s="19">
        <f t="shared" si="17"/>
        <v>50</v>
      </c>
      <c r="AN9" s="19">
        <f t="shared" si="8"/>
        <v>230</v>
      </c>
      <c r="AO9" s="19">
        <f t="shared" si="18"/>
        <v>165</v>
      </c>
      <c r="AP9" s="19">
        <f t="shared" si="19"/>
        <v>234</v>
      </c>
      <c r="AQ9" s="19">
        <f t="shared" si="20"/>
        <v>402</v>
      </c>
      <c r="AR9" s="47">
        <f t="shared" si="21"/>
        <v>-213.613</v>
      </c>
    </row>
    <row r="10" spans="1:48">
      <c r="A10" s="30">
        <f t="shared" si="0"/>
        <v>45817</v>
      </c>
      <c r="B10" s="31">
        <v>45817</v>
      </c>
      <c r="C10" s="32" t="s">
        <v>153</v>
      </c>
      <c r="D10" s="33">
        <v>0</v>
      </c>
      <c r="E10" s="35">
        <f t="shared" si="9"/>
        <v>2.0833333333333332E-2</v>
      </c>
      <c r="F10" s="34">
        <v>30</v>
      </c>
      <c r="G10" s="33">
        <v>0.17708333333333334</v>
      </c>
      <c r="H10" s="36">
        <f t="shared" si="10"/>
        <v>225</v>
      </c>
      <c r="I10" s="37">
        <f t="shared" si="11"/>
        <v>0.15972222222222221</v>
      </c>
      <c r="J10" s="4">
        <v>5</v>
      </c>
      <c r="K10" s="7"/>
      <c r="L10" s="79">
        <v>2.8472222222222222E-2</v>
      </c>
      <c r="M10" s="50">
        <v>4.027777777777778E-2</v>
      </c>
      <c r="N10" s="50">
        <v>0.15625</v>
      </c>
      <c r="O10" s="50">
        <v>0.15763888888888888</v>
      </c>
      <c r="P10" s="47">
        <v>0.72462000000000004</v>
      </c>
      <c r="Q10" t="s">
        <v>44</v>
      </c>
      <c r="R10" t="s">
        <v>44</v>
      </c>
      <c r="S10" t="s">
        <v>45</v>
      </c>
      <c r="T10" t="s">
        <v>45</v>
      </c>
      <c r="U10" s="7"/>
      <c r="V10" s="13">
        <f t="shared" si="12"/>
        <v>17.000000000000004</v>
      </c>
      <c r="W10" s="13">
        <f t="shared" si="12"/>
        <v>167</v>
      </c>
      <c r="X10" s="40">
        <f t="shared" si="13"/>
        <v>41</v>
      </c>
      <c r="Y10" s="4">
        <f t="shared" si="13"/>
        <v>28.000000000000007</v>
      </c>
      <c r="Z10" s="4">
        <f t="shared" si="1"/>
        <v>-30.000000000000014</v>
      </c>
      <c r="AA10" s="4">
        <f t="shared" si="2"/>
        <v>-17</v>
      </c>
      <c r="AB10" s="4">
        <f t="shared" si="3"/>
        <v>-28.000000000000021</v>
      </c>
      <c r="AC10" s="13">
        <f t="shared" si="4"/>
        <v>2</v>
      </c>
      <c r="AD10" s="15">
        <f t="shared" si="5"/>
        <v>71.000000000000014</v>
      </c>
      <c r="AG10" s="18">
        <v>0</v>
      </c>
      <c r="AH10" s="19">
        <f t="shared" si="6"/>
        <v>30</v>
      </c>
      <c r="AI10" s="19">
        <f t="shared" si="7"/>
        <v>255</v>
      </c>
      <c r="AJ10" s="20">
        <f t="shared" si="14"/>
        <v>31</v>
      </c>
      <c r="AK10" s="19">
        <f t="shared" si="15"/>
        <v>31</v>
      </c>
      <c r="AL10" s="19">
        <f t="shared" si="16"/>
        <v>58.000000000000007</v>
      </c>
      <c r="AM10" s="19">
        <f t="shared" si="17"/>
        <v>58.000000000000007</v>
      </c>
      <c r="AN10" s="19">
        <f t="shared" si="8"/>
        <v>225</v>
      </c>
      <c r="AO10" s="19">
        <f t="shared" si="18"/>
        <v>162.5</v>
      </c>
      <c r="AP10" s="19">
        <f t="shared" si="19"/>
        <v>227</v>
      </c>
      <c r="AQ10" s="19">
        <f t="shared" si="20"/>
        <v>421</v>
      </c>
      <c r="AR10" s="47">
        <f t="shared" si="21"/>
        <v>-213.76900000000001</v>
      </c>
      <c r="AS10">
        <f t="shared" si="23"/>
        <v>-255</v>
      </c>
      <c r="AT10">
        <f>IF(R10="Yes",-240,0)</f>
        <v>-240</v>
      </c>
    </row>
    <row r="11" spans="1:48">
      <c r="A11" s="30">
        <f t="shared" si="0"/>
        <v>45818</v>
      </c>
      <c r="B11" s="31">
        <v>45818</v>
      </c>
      <c r="C11" s="32" t="s">
        <v>153</v>
      </c>
      <c r="D11" s="33">
        <v>0</v>
      </c>
      <c r="E11" s="35">
        <f t="shared" si="9"/>
        <v>2.0833333333333332E-2</v>
      </c>
      <c r="F11" s="34">
        <v>30</v>
      </c>
      <c r="G11" s="33">
        <v>0.17708333333333334</v>
      </c>
      <c r="H11" s="36">
        <f t="shared" si="10"/>
        <v>225</v>
      </c>
      <c r="I11" s="37">
        <f t="shared" si="11"/>
        <v>0.15208333333333332</v>
      </c>
      <c r="J11" s="4">
        <v>5</v>
      </c>
      <c r="K11" s="7"/>
      <c r="L11" s="79">
        <v>1.7361111111111112E-2</v>
      </c>
      <c r="M11" s="50">
        <v>3.125E-2</v>
      </c>
      <c r="N11" s="50">
        <v>0.14861111111111111</v>
      </c>
      <c r="O11" s="50">
        <v>0.15069444444444444</v>
      </c>
      <c r="P11" s="47">
        <v>0.70487999999999995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2"/>
        <v>20</v>
      </c>
      <c r="W11" s="13">
        <f t="shared" si="12"/>
        <v>169</v>
      </c>
      <c r="X11" s="40">
        <f t="shared" si="13"/>
        <v>25</v>
      </c>
      <c r="Y11" s="4">
        <f t="shared" si="13"/>
        <v>15.000000000000002</v>
      </c>
      <c r="Z11" s="4">
        <f t="shared" si="1"/>
        <v>-41.000000000000014</v>
      </c>
      <c r="AA11" s="4">
        <f t="shared" si="2"/>
        <v>-31</v>
      </c>
      <c r="AB11" s="4">
        <f t="shared" si="3"/>
        <v>-38.000000000000028</v>
      </c>
      <c r="AC11" s="13">
        <f t="shared" si="4"/>
        <v>3</v>
      </c>
      <c r="AD11" s="15">
        <f t="shared" si="5"/>
        <v>66.000000000000014</v>
      </c>
      <c r="AG11" s="18">
        <v>0</v>
      </c>
      <c r="AH11" s="19">
        <f t="shared" si="6"/>
        <v>30</v>
      </c>
      <c r="AI11" s="19">
        <f t="shared" si="7"/>
        <v>255</v>
      </c>
      <c r="AJ11" s="20">
        <f t="shared" si="14"/>
        <v>15</v>
      </c>
      <c r="AK11" s="19">
        <f t="shared" si="15"/>
        <v>15</v>
      </c>
      <c r="AL11" s="19">
        <f t="shared" si="16"/>
        <v>45</v>
      </c>
      <c r="AM11" s="19">
        <f t="shared" si="17"/>
        <v>45</v>
      </c>
      <c r="AN11" s="19">
        <f t="shared" si="8"/>
        <v>214</v>
      </c>
      <c r="AO11" s="19">
        <f t="shared" si="18"/>
        <v>157</v>
      </c>
      <c r="AP11" s="19">
        <f t="shared" si="19"/>
        <v>217</v>
      </c>
      <c r="AQ11" s="19">
        <f t="shared" si="20"/>
        <v>416</v>
      </c>
      <c r="AR11" s="47">
        <f t="shared" si="21"/>
        <v>-214.756</v>
      </c>
    </row>
    <row r="12" spans="1:48">
      <c r="A12" s="30">
        <f t="shared" si="0"/>
        <v>45819</v>
      </c>
      <c r="B12" s="31">
        <v>45819</v>
      </c>
      <c r="C12" s="32" t="s">
        <v>153</v>
      </c>
      <c r="D12" s="33">
        <v>0</v>
      </c>
      <c r="E12" s="35">
        <f t="shared" si="9"/>
        <v>2.0833333333333332E-2</v>
      </c>
      <c r="F12" s="34">
        <v>30</v>
      </c>
      <c r="G12" s="33">
        <v>0.17708333333333334</v>
      </c>
      <c r="H12" s="36">
        <f t="shared" si="10"/>
        <v>225</v>
      </c>
      <c r="I12" s="37">
        <f t="shared" si="11"/>
        <v>0.15902777777777777</v>
      </c>
      <c r="J12" s="4">
        <v>5</v>
      </c>
      <c r="K12" s="7"/>
      <c r="L12" s="79">
        <v>1.3194444444444444E-2</v>
      </c>
      <c r="M12" s="50">
        <v>3.4722222222222224E-2</v>
      </c>
      <c r="N12" s="50">
        <v>0.15555555555555556</v>
      </c>
      <c r="O12" s="50">
        <v>0.15694444444444444</v>
      </c>
      <c r="P12" s="80">
        <v>0.73819999999999997</v>
      </c>
      <c r="Q12" t="s">
        <v>45</v>
      </c>
      <c r="R12" t="s">
        <v>44</v>
      </c>
      <c r="S12" t="s">
        <v>45</v>
      </c>
      <c r="T12" t="s">
        <v>45</v>
      </c>
      <c r="U12" s="7"/>
      <c r="V12" s="13">
        <f t="shared" si="12"/>
        <v>31</v>
      </c>
      <c r="W12" s="13">
        <f t="shared" si="12"/>
        <v>174</v>
      </c>
      <c r="X12" s="40">
        <f t="shared" si="13"/>
        <v>19</v>
      </c>
      <c r="Y12" s="4">
        <f t="shared" si="13"/>
        <v>20.000000000000004</v>
      </c>
      <c r="Z12" s="4">
        <f t="shared" si="1"/>
        <v>-31.000000000000011</v>
      </c>
      <c r="AA12" s="4">
        <f t="shared" si="2"/>
        <v>-32</v>
      </c>
      <c r="AB12" s="4">
        <f t="shared" si="3"/>
        <v>-29.000000000000018</v>
      </c>
      <c r="AC12" s="13">
        <f t="shared" si="4"/>
        <v>2</v>
      </c>
      <c r="AD12" s="15">
        <f t="shared" si="5"/>
        <v>50.000000000000014</v>
      </c>
      <c r="AG12" s="18">
        <v>0</v>
      </c>
      <c r="AH12" s="19">
        <f t="shared" si="6"/>
        <v>30</v>
      </c>
      <c r="AI12" s="19">
        <f t="shared" si="7"/>
        <v>255</v>
      </c>
      <c r="AJ12" s="20">
        <f t="shared" si="14"/>
        <v>9</v>
      </c>
      <c r="AK12" s="19">
        <f t="shared" si="15"/>
        <v>9</v>
      </c>
      <c r="AL12" s="19">
        <f t="shared" si="16"/>
        <v>50</v>
      </c>
      <c r="AM12" s="19">
        <f t="shared" si="17"/>
        <v>50</v>
      </c>
      <c r="AN12" s="19">
        <f t="shared" si="8"/>
        <v>224</v>
      </c>
      <c r="AO12" s="19">
        <f t="shared" si="18"/>
        <v>162</v>
      </c>
      <c r="AP12" s="19">
        <f t="shared" si="19"/>
        <v>226</v>
      </c>
      <c r="AQ12" s="19">
        <f t="shared" si="20"/>
        <v>400</v>
      </c>
      <c r="AR12" s="47">
        <f t="shared" si="21"/>
        <v>-213.09</v>
      </c>
      <c r="AT12">
        <f t="shared" si="22"/>
        <v>-255</v>
      </c>
    </row>
    <row r="13" spans="1:48">
      <c r="A13" s="30">
        <f t="shared" si="0"/>
        <v>45820</v>
      </c>
      <c r="B13" s="31">
        <v>45820</v>
      </c>
      <c r="C13" s="32" t="s">
        <v>153</v>
      </c>
      <c r="D13" s="33">
        <v>0</v>
      </c>
      <c r="E13" s="35">
        <f t="shared" si="9"/>
        <v>2.0833333333333332E-2</v>
      </c>
      <c r="F13" s="34">
        <v>30</v>
      </c>
      <c r="G13" s="33">
        <v>0.17708333333333334</v>
      </c>
      <c r="H13" s="36">
        <f t="shared" si="10"/>
        <v>225</v>
      </c>
      <c r="I13" s="37">
        <f t="shared" si="11"/>
        <v>0.16041666666666665</v>
      </c>
      <c r="J13" s="4">
        <v>5</v>
      </c>
      <c r="K13" s="7"/>
      <c r="L13" s="79">
        <v>2.0833333333333332E-2</v>
      </c>
      <c r="M13" s="50">
        <v>3.4722222222222224E-2</v>
      </c>
      <c r="N13" s="50">
        <v>0.15694444444444444</v>
      </c>
      <c r="O13" s="50">
        <v>0.15972222222222221</v>
      </c>
      <c r="P13" s="47">
        <v>0.72916000000000003</v>
      </c>
      <c r="Q13" t="s">
        <v>45</v>
      </c>
      <c r="R13" t="s">
        <v>44</v>
      </c>
      <c r="S13" t="s">
        <v>45</v>
      </c>
      <c r="T13" t="s">
        <v>45</v>
      </c>
      <c r="U13" s="7"/>
      <c r="V13" s="13">
        <f t="shared" si="12"/>
        <v>20.000000000000004</v>
      </c>
      <c r="W13" s="13">
        <f t="shared" si="12"/>
        <v>176</v>
      </c>
      <c r="X13" s="40">
        <f t="shared" si="13"/>
        <v>30</v>
      </c>
      <c r="Y13" s="4">
        <f t="shared" si="13"/>
        <v>20.000000000000004</v>
      </c>
      <c r="Z13" s="4">
        <f t="shared" si="1"/>
        <v>-29.000000000000018</v>
      </c>
      <c r="AA13" s="4">
        <f t="shared" si="2"/>
        <v>-19</v>
      </c>
      <c r="AB13" s="4">
        <f t="shared" si="3"/>
        <v>-25.000000000000032</v>
      </c>
      <c r="AC13" s="13">
        <f t="shared" si="4"/>
        <v>4</v>
      </c>
      <c r="AD13" s="15">
        <f t="shared" si="5"/>
        <v>59.000000000000014</v>
      </c>
      <c r="AG13" s="18">
        <v>0</v>
      </c>
      <c r="AH13" s="19">
        <f t="shared" si="6"/>
        <v>30</v>
      </c>
      <c r="AI13" s="19">
        <f t="shared" si="7"/>
        <v>255</v>
      </c>
      <c r="AJ13" s="20">
        <f t="shared" si="14"/>
        <v>20</v>
      </c>
      <c r="AK13" s="19">
        <f t="shared" si="15"/>
        <v>20</v>
      </c>
      <c r="AL13" s="19">
        <f t="shared" si="16"/>
        <v>50</v>
      </c>
      <c r="AM13" s="19">
        <f t="shared" si="17"/>
        <v>50</v>
      </c>
      <c r="AN13" s="19">
        <f t="shared" si="8"/>
        <v>226</v>
      </c>
      <c r="AO13" s="19">
        <f t="shared" si="18"/>
        <v>163</v>
      </c>
      <c r="AP13" s="19">
        <f t="shared" si="19"/>
        <v>230</v>
      </c>
      <c r="AQ13" s="19">
        <f t="shared" si="20"/>
        <v>409</v>
      </c>
      <c r="AR13" s="47">
        <f t="shared" si="21"/>
        <v>-213.542</v>
      </c>
      <c r="AT13">
        <f t="shared" si="22"/>
        <v>-255</v>
      </c>
    </row>
    <row r="14" spans="1:48">
      <c r="A14" s="30">
        <f t="shared" si="0"/>
        <v>45821</v>
      </c>
      <c r="B14" s="31">
        <v>45821</v>
      </c>
      <c r="C14" s="32" t="s">
        <v>153</v>
      </c>
      <c r="D14" s="33">
        <v>0</v>
      </c>
      <c r="E14" s="35">
        <f t="shared" si="9"/>
        <v>2.0833333333333332E-2</v>
      </c>
      <c r="F14" s="34">
        <v>30</v>
      </c>
      <c r="G14" s="33">
        <v>0.17708333333333334</v>
      </c>
      <c r="H14" s="36">
        <f t="shared" si="10"/>
        <v>225</v>
      </c>
      <c r="I14" s="37">
        <f t="shared" si="11"/>
        <v>0.1673611111111111</v>
      </c>
      <c r="J14" s="4">
        <v>5</v>
      </c>
      <c r="K14" s="7"/>
      <c r="L14" s="79">
        <v>3.8194444444444441E-2</v>
      </c>
      <c r="M14" s="50">
        <v>4.8611111111111112E-2</v>
      </c>
      <c r="N14" s="50">
        <v>0.16388888888888889</v>
      </c>
      <c r="O14" s="50">
        <v>0.16527777777777777</v>
      </c>
      <c r="P14" s="47">
        <v>0.74521000000000004</v>
      </c>
      <c r="Q14" t="s">
        <v>45</v>
      </c>
      <c r="R14" t="s">
        <v>45</v>
      </c>
      <c r="S14" t="s">
        <v>45</v>
      </c>
      <c r="T14" t="s">
        <v>45</v>
      </c>
      <c r="U14" s="7"/>
      <c r="V14" s="13">
        <f t="shared" si="12"/>
        <v>15.000000000000007</v>
      </c>
      <c r="W14" s="13">
        <f t="shared" si="12"/>
        <v>166</v>
      </c>
      <c r="X14" s="40">
        <f t="shared" si="13"/>
        <v>54.999999999999993</v>
      </c>
      <c r="Y14" s="4">
        <f t="shared" si="13"/>
        <v>40</v>
      </c>
      <c r="Z14" s="4">
        <f t="shared" si="1"/>
        <v>-19.000000000000014</v>
      </c>
      <c r="AA14" s="4">
        <f t="shared" si="2"/>
        <v>-4</v>
      </c>
      <c r="AB14" s="4">
        <f t="shared" si="3"/>
        <v>-17.000000000000021</v>
      </c>
      <c r="AC14" s="13">
        <f t="shared" si="4"/>
        <v>2</v>
      </c>
      <c r="AD14" s="15">
        <f t="shared" si="5"/>
        <v>74</v>
      </c>
      <c r="AG14" s="18">
        <v>0</v>
      </c>
      <c r="AH14" s="19">
        <f t="shared" si="6"/>
        <v>30</v>
      </c>
      <c r="AI14" s="19">
        <f t="shared" si="7"/>
        <v>255</v>
      </c>
      <c r="AJ14" s="20">
        <f t="shared" si="14"/>
        <v>44.999999999999993</v>
      </c>
      <c r="AK14" s="19">
        <f t="shared" si="15"/>
        <v>44.999999999999993</v>
      </c>
      <c r="AL14" s="19">
        <f t="shared" si="16"/>
        <v>70</v>
      </c>
      <c r="AM14" s="19">
        <f t="shared" si="17"/>
        <v>70</v>
      </c>
      <c r="AN14" s="19">
        <f t="shared" si="8"/>
        <v>236</v>
      </c>
      <c r="AO14" s="19">
        <f t="shared" si="18"/>
        <v>168</v>
      </c>
      <c r="AP14" s="19">
        <f t="shared" si="19"/>
        <v>238</v>
      </c>
      <c r="AQ14" s="19">
        <f t="shared" si="20"/>
        <v>424</v>
      </c>
      <c r="AR14" s="47">
        <f t="shared" si="21"/>
        <v>-212.73949999999999</v>
      </c>
    </row>
    <row r="15" spans="1:48">
      <c r="A15" s="30">
        <f t="shared" si="0"/>
        <v>45822</v>
      </c>
      <c r="B15" s="31">
        <v>45822</v>
      </c>
      <c r="C15" s="32" t="s">
        <v>153</v>
      </c>
      <c r="D15" s="33">
        <v>0</v>
      </c>
      <c r="E15" s="35">
        <f t="shared" si="9"/>
        <v>2.0833333333333332E-2</v>
      </c>
      <c r="F15" s="34">
        <v>30</v>
      </c>
      <c r="G15" s="33">
        <v>0.17708333333333334</v>
      </c>
      <c r="H15" s="36">
        <f t="shared" si="10"/>
        <v>225</v>
      </c>
      <c r="I15" s="37">
        <f t="shared" si="11"/>
        <v>0.16874999999999998</v>
      </c>
      <c r="J15" s="4">
        <v>5</v>
      </c>
      <c r="K15" s="7"/>
      <c r="L15" s="79">
        <v>2.4999999999999998E-2</v>
      </c>
      <c r="M15" s="50">
        <v>4.1666666666666664E-2</v>
      </c>
      <c r="N15" s="50">
        <v>0.16527777777777777</v>
      </c>
      <c r="O15" s="50">
        <v>0.16666666666666666</v>
      </c>
      <c r="P15" s="47">
        <v>0.74914000000000003</v>
      </c>
      <c r="Q15" t="s">
        <v>44</v>
      </c>
      <c r="R15" t="s">
        <v>45</v>
      </c>
      <c r="S15" t="s">
        <v>45</v>
      </c>
      <c r="T15" t="s">
        <v>45</v>
      </c>
      <c r="U15" s="7"/>
      <c r="V15" s="13">
        <f t="shared" si="12"/>
        <v>24</v>
      </c>
      <c r="W15" s="13">
        <f t="shared" si="12"/>
        <v>178</v>
      </c>
      <c r="X15" s="40">
        <f t="shared" si="13"/>
        <v>36</v>
      </c>
      <c r="Y15" s="4">
        <f t="shared" si="13"/>
        <v>30</v>
      </c>
      <c r="Z15" s="4">
        <f t="shared" si="1"/>
        <v>-17.000000000000021</v>
      </c>
      <c r="AA15" s="4">
        <f t="shared" si="2"/>
        <v>-11</v>
      </c>
      <c r="AB15" s="4">
        <f t="shared" si="3"/>
        <v>-15.000000000000027</v>
      </c>
      <c r="AC15" s="13">
        <f t="shared" si="4"/>
        <v>2</v>
      </c>
      <c r="AD15" s="15">
        <f t="shared" si="5"/>
        <v>53.000000000000021</v>
      </c>
      <c r="AG15" s="18">
        <v>0</v>
      </c>
      <c r="AH15" s="19">
        <f t="shared" si="6"/>
        <v>30</v>
      </c>
      <c r="AI15" s="19">
        <f t="shared" si="7"/>
        <v>255</v>
      </c>
      <c r="AJ15" s="20">
        <f t="shared" si="14"/>
        <v>26</v>
      </c>
      <c r="AK15" s="19">
        <f t="shared" si="15"/>
        <v>26</v>
      </c>
      <c r="AL15" s="19">
        <f t="shared" si="16"/>
        <v>60</v>
      </c>
      <c r="AM15" s="19">
        <f t="shared" si="17"/>
        <v>60</v>
      </c>
      <c r="AN15" s="19">
        <f t="shared" si="8"/>
        <v>238</v>
      </c>
      <c r="AO15" s="19">
        <f t="shared" si="18"/>
        <v>169</v>
      </c>
      <c r="AP15" s="19">
        <f t="shared" si="19"/>
        <v>240</v>
      </c>
      <c r="AQ15" s="19">
        <f t="shared" si="20"/>
        <v>403</v>
      </c>
      <c r="AR15" s="47">
        <f t="shared" si="21"/>
        <v>-212.54300000000001</v>
      </c>
      <c r="AS15">
        <f t="shared" si="23"/>
        <v>-255</v>
      </c>
    </row>
    <row r="16" spans="1:48">
      <c r="A16" s="30">
        <f t="shared" si="0"/>
        <v>45823</v>
      </c>
      <c r="B16" s="31">
        <v>45823</v>
      </c>
      <c r="C16" s="32" t="s">
        <v>153</v>
      </c>
      <c r="D16" s="33">
        <v>0</v>
      </c>
      <c r="E16" s="35">
        <f t="shared" si="9"/>
        <v>2.0833333333333332E-2</v>
      </c>
      <c r="F16" s="34">
        <v>30</v>
      </c>
      <c r="G16" s="33">
        <v>0.17708333333333334</v>
      </c>
      <c r="H16" s="36">
        <f t="shared" si="10"/>
        <v>225</v>
      </c>
      <c r="I16" s="37">
        <f t="shared" si="11"/>
        <v>0.15763888888888888</v>
      </c>
      <c r="J16" s="4">
        <v>5</v>
      </c>
      <c r="K16" s="7"/>
      <c r="L16" s="79">
        <v>2.1527777777777781E-2</v>
      </c>
      <c r="M16" s="50">
        <v>3.4722222222222224E-2</v>
      </c>
      <c r="N16" s="50">
        <v>0.15416666666666667</v>
      </c>
      <c r="O16" s="50">
        <v>0.15625</v>
      </c>
      <c r="P16" s="47">
        <v>0.74009999999999998</v>
      </c>
      <c r="Q16" t="s">
        <v>44</v>
      </c>
      <c r="R16" t="s">
        <v>45</v>
      </c>
      <c r="S16" t="s">
        <v>45</v>
      </c>
      <c r="T16" t="s">
        <v>45</v>
      </c>
      <c r="U16" s="7"/>
      <c r="V16" s="13">
        <f t="shared" si="12"/>
        <v>18.999999999999996</v>
      </c>
      <c r="W16" s="13">
        <f t="shared" si="12"/>
        <v>172</v>
      </c>
      <c r="X16" s="40">
        <f t="shared" si="13"/>
        <v>31.000000000000004</v>
      </c>
      <c r="Y16" s="4">
        <f t="shared" si="13"/>
        <v>20.000000000000004</v>
      </c>
      <c r="Z16" s="4">
        <f t="shared" si="1"/>
        <v>-33</v>
      </c>
      <c r="AA16" s="4">
        <f t="shared" si="2"/>
        <v>-22</v>
      </c>
      <c r="AB16" s="4">
        <f t="shared" si="3"/>
        <v>-30.000000000000014</v>
      </c>
      <c r="AC16" s="13">
        <f t="shared" si="4"/>
        <v>3</v>
      </c>
      <c r="AD16" s="15">
        <f t="shared" si="5"/>
        <v>64</v>
      </c>
      <c r="AG16" s="18">
        <v>0</v>
      </c>
      <c r="AH16" s="19">
        <f t="shared" si="6"/>
        <v>30</v>
      </c>
      <c r="AI16" s="19">
        <f t="shared" si="7"/>
        <v>255</v>
      </c>
      <c r="AJ16" s="20">
        <f t="shared" si="14"/>
        <v>21.000000000000004</v>
      </c>
      <c r="AK16" s="19">
        <f t="shared" si="15"/>
        <v>21.000000000000004</v>
      </c>
      <c r="AL16" s="19">
        <f t="shared" si="16"/>
        <v>50</v>
      </c>
      <c r="AM16" s="19">
        <f t="shared" si="17"/>
        <v>50</v>
      </c>
      <c r="AN16" s="19">
        <f>AM16+W16</f>
        <v>222</v>
      </c>
      <c r="AO16" s="19">
        <f t="shared" si="18"/>
        <v>161</v>
      </c>
      <c r="AP16" s="19">
        <f t="shared" si="19"/>
        <v>225</v>
      </c>
      <c r="AQ16" s="19">
        <f t="shared" si="20"/>
        <v>414</v>
      </c>
      <c r="AR16" s="47">
        <f t="shared" si="21"/>
        <v>-212.995</v>
      </c>
      <c r="AS16">
        <f t="shared" si="23"/>
        <v>-255</v>
      </c>
    </row>
    <row r="17" spans="1:47">
      <c r="A17" s="30">
        <f t="shared" si="0"/>
        <v>45824</v>
      </c>
      <c r="B17" s="31">
        <v>45824</v>
      </c>
      <c r="C17" s="32" t="s">
        <v>153</v>
      </c>
      <c r="D17" s="33">
        <v>0</v>
      </c>
      <c r="E17" s="35">
        <f t="shared" si="9"/>
        <v>2.0833333333333332E-2</v>
      </c>
      <c r="F17" s="34">
        <v>30</v>
      </c>
      <c r="G17" s="33">
        <v>0.17708333333333334</v>
      </c>
      <c r="H17" s="36">
        <f t="shared" si="10"/>
        <v>225</v>
      </c>
      <c r="I17" s="37">
        <f t="shared" si="11"/>
        <v>0.15069444444444444</v>
      </c>
      <c r="J17" s="4">
        <v>5</v>
      </c>
      <c r="K17" s="7"/>
      <c r="L17" s="79">
        <v>2.7777777777777776E-2</v>
      </c>
      <c r="M17" s="50">
        <v>4.1666666666666664E-2</v>
      </c>
      <c r="N17" s="50">
        <v>0.14722222222222223</v>
      </c>
      <c r="O17" s="50">
        <v>0.14930555555555555</v>
      </c>
      <c r="P17" s="47">
        <v>0.73616999999999999</v>
      </c>
      <c r="Q17" t="s">
        <v>44</v>
      </c>
      <c r="R17" t="s">
        <v>45</v>
      </c>
      <c r="S17" t="s">
        <v>45</v>
      </c>
      <c r="T17" t="s">
        <v>45</v>
      </c>
      <c r="U17" s="7"/>
      <c r="V17" s="13">
        <f t="shared" si="12"/>
        <v>20</v>
      </c>
      <c r="W17" s="13">
        <f t="shared" si="12"/>
        <v>152.00000000000003</v>
      </c>
      <c r="X17" s="40">
        <f t="shared" si="13"/>
        <v>40</v>
      </c>
      <c r="Y17" s="4">
        <f t="shared" si="13"/>
        <v>30</v>
      </c>
      <c r="Z17" s="4">
        <f t="shared" si="1"/>
        <v>-43.000000000000007</v>
      </c>
      <c r="AA17" s="4">
        <f t="shared" si="2"/>
        <v>-32.999999999999972</v>
      </c>
      <c r="AB17" s="4">
        <f t="shared" si="3"/>
        <v>-40.000000000000014</v>
      </c>
      <c r="AC17" s="13">
        <f t="shared" si="4"/>
        <v>3</v>
      </c>
      <c r="AD17" s="15">
        <f t="shared" si="5"/>
        <v>83</v>
      </c>
      <c r="AG17" s="18">
        <v>0</v>
      </c>
      <c r="AH17" s="19">
        <f t="shared" si="6"/>
        <v>30</v>
      </c>
      <c r="AI17" s="19">
        <f t="shared" si="7"/>
        <v>255</v>
      </c>
      <c r="AJ17" s="20">
        <f t="shared" si="14"/>
        <v>30</v>
      </c>
      <c r="AK17" s="19">
        <f t="shared" si="15"/>
        <v>30</v>
      </c>
      <c r="AL17" s="19">
        <f t="shared" si="16"/>
        <v>60</v>
      </c>
      <c r="AM17" s="19">
        <f t="shared" si="17"/>
        <v>60</v>
      </c>
      <c r="AN17" s="19">
        <f>AM17+W17</f>
        <v>212.00000000000003</v>
      </c>
      <c r="AO17" s="19">
        <f t="shared" si="18"/>
        <v>156</v>
      </c>
      <c r="AP17" s="19">
        <f t="shared" si="19"/>
        <v>215.00000000000003</v>
      </c>
      <c r="AQ17" s="19">
        <f t="shared" si="20"/>
        <v>433</v>
      </c>
      <c r="AR17" s="47">
        <f t="shared" si="21"/>
        <v>-213.19149999999999</v>
      </c>
      <c r="AS17">
        <f t="shared" si="23"/>
        <v>-255</v>
      </c>
    </row>
    <row r="18" spans="1:47">
      <c r="A18" s="30">
        <f t="shared" si="0"/>
        <v>45825</v>
      </c>
      <c r="B18" s="31">
        <v>45825</v>
      </c>
      <c r="C18" s="32" t="s">
        <v>153</v>
      </c>
      <c r="D18" s="33">
        <v>0</v>
      </c>
      <c r="E18" s="35">
        <f t="shared" si="9"/>
        <v>2.0833333333333332E-2</v>
      </c>
      <c r="F18" s="34">
        <v>30</v>
      </c>
      <c r="G18" s="33">
        <v>0.17708333333333334</v>
      </c>
      <c r="H18" s="36">
        <f t="shared" si="10"/>
        <v>225</v>
      </c>
      <c r="I18" s="37">
        <f t="shared" si="11"/>
        <v>0.14097222222222219</v>
      </c>
      <c r="J18" s="4">
        <v>5</v>
      </c>
      <c r="K18" s="7"/>
      <c r="L18" s="79">
        <v>1.3194444444444444E-2</v>
      </c>
      <c r="M18" s="50">
        <v>2.6388888888888889E-2</v>
      </c>
      <c r="N18" s="50">
        <v>0.13749999999999998</v>
      </c>
      <c r="O18" s="50">
        <v>0.1388888888888889</v>
      </c>
      <c r="P18" s="47">
        <v>0.72189999999999999</v>
      </c>
      <c r="Q18" t="s">
        <v>45</v>
      </c>
      <c r="R18" t="s">
        <v>45</v>
      </c>
      <c r="S18" t="s">
        <v>45</v>
      </c>
      <c r="T18" t="s">
        <v>45</v>
      </c>
      <c r="U18" s="7"/>
      <c r="V18" s="13">
        <f t="shared" si="12"/>
        <v>19</v>
      </c>
      <c r="W18" s="13">
        <f t="shared" si="12"/>
        <v>159.99999999999997</v>
      </c>
      <c r="X18" s="40">
        <f t="shared" si="13"/>
        <v>19</v>
      </c>
      <c r="Y18" s="4">
        <f t="shared" si="13"/>
        <v>8.0000000000000018</v>
      </c>
      <c r="Z18" s="4">
        <f t="shared" si="1"/>
        <v>-57.000000000000036</v>
      </c>
      <c r="AA18" s="4">
        <f t="shared" si="2"/>
        <v>-46.000000000000028</v>
      </c>
      <c r="AB18" s="4">
        <f t="shared" si="3"/>
        <v>-55.000000000000007</v>
      </c>
      <c r="AC18" s="13">
        <f t="shared" si="4"/>
        <v>2</v>
      </c>
      <c r="AD18" s="15">
        <f t="shared" si="5"/>
        <v>76.000000000000028</v>
      </c>
      <c r="AG18" s="18">
        <v>0</v>
      </c>
      <c r="AH18" s="19">
        <f t="shared" si="6"/>
        <v>30</v>
      </c>
      <c r="AI18" s="19">
        <f t="shared" si="7"/>
        <v>255</v>
      </c>
      <c r="AJ18" s="20">
        <f t="shared" si="14"/>
        <v>9</v>
      </c>
      <c r="AK18" s="19">
        <f t="shared" si="15"/>
        <v>9</v>
      </c>
      <c r="AL18" s="19">
        <f t="shared" si="16"/>
        <v>38</v>
      </c>
      <c r="AM18" s="19">
        <f t="shared" si="17"/>
        <v>38</v>
      </c>
      <c r="AN18" s="19">
        <f>AM18+W18</f>
        <v>197.99999999999997</v>
      </c>
      <c r="AO18" s="19">
        <f t="shared" si="18"/>
        <v>149</v>
      </c>
      <c r="AP18" s="19">
        <f t="shared" si="19"/>
        <v>199.99999999999997</v>
      </c>
      <c r="AQ18" s="19">
        <f t="shared" si="20"/>
        <v>426</v>
      </c>
      <c r="AR18" s="47">
        <f t="shared" si="21"/>
        <v>-213.905</v>
      </c>
    </row>
    <row r="19" spans="1:47">
      <c r="A19" s="30">
        <f t="shared" si="0"/>
        <v>45826</v>
      </c>
      <c r="B19" s="31">
        <v>45826</v>
      </c>
      <c r="C19" s="32" t="s">
        <v>153</v>
      </c>
      <c r="D19" s="33">
        <v>0</v>
      </c>
      <c r="E19" s="35">
        <f t="shared" si="9"/>
        <v>2.0833333333333332E-2</v>
      </c>
      <c r="F19" s="34">
        <v>30</v>
      </c>
      <c r="G19" s="33">
        <v>0.17708333333333334</v>
      </c>
      <c r="H19" s="36">
        <f t="shared" si="10"/>
        <v>225</v>
      </c>
      <c r="I19" s="37">
        <f t="shared" si="11"/>
        <v>0.14930555555555555</v>
      </c>
      <c r="J19" s="4">
        <v>5</v>
      </c>
      <c r="K19" s="7"/>
      <c r="L19" s="79">
        <v>1.0416666666666666E-2</v>
      </c>
      <c r="M19" s="50">
        <v>2.4305555555555556E-2</v>
      </c>
      <c r="N19" s="50">
        <v>0.14583333333333334</v>
      </c>
      <c r="O19" s="50">
        <v>0.14722222222222223</v>
      </c>
      <c r="P19" s="47">
        <v>0.7681</v>
      </c>
      <c r="Q19" t="s">
        <v>44</v>
      </c>
      <c r="R19" t="s">
        <v>44</v>
      </c>
      <c r="S19" t="s">
        <v>45</v>
      </c>
      <c r="T19" t="s">
        <v>45</v>
      </c>
      <c r="U19" s="7"/>
      <c r="V19" s="13">
        <f t="shared" si="12"/>
        <v>20</v>
      </c>
      <c r="W19" s="13">
        <f t="shared" si="12"/>
        <v>175.00000000000003</v>
      </c>
      <c r="X19" s="40">
        <f t="shared" si="13"/>
        <v>15</v>
      </c>
      <c r="Y19" s="4">
        <f t="shared" si="13"/>
        <v>5.0000000000000018</v>
      </c>
      <c r="Z19" s="4">
        <f t="shared" si="1"/>
        <v>-45</v>
      </c>
      <c r="AA19" s="4">
        <f t="shared" si="2"/>
        <v>-34.999999999999972</v>
      </c>
      <c r="AB19" s="4">
        <f t="shared" si="3"/>
        <v>-43.000000000000007</v>
      </c>
      <c r="AC19" s="13">
        <f t="shared" si="4"/>
        <v>2</v>
      </c>
      <c r="AD19" s="15">
        <f t="shared" si="5"/>
        <v>60</v>
      </c>
      <c r="AG19" s="18">
        <v>0</v>
      </c>
      <c r="AH19" s="19">
        <f t="shared" si="6"/>
        <v>30</v>
      </c>
      <c r="AI19" s="19">
        <f t="shared" si="7"/>
        <v>255</v>
      </c>
      <c r="AJ19" s="20">
        <f t="shared" si="14"/>
        <v>5</v>
      </c>
      <c r="AK19" s="19">
        <f t="shared" si="15"/>
        <v>5</v>
      </c>
      <c r="AL19" s="19">
        <f t="shared" si="16"/>
        <v>35</v>
      </c>
      <c r="AM19" s="19">
        <f t="shared" si="17"/>
        <v>35</v>
      </c>
      <c r="AN19" s="19">
        <f>AM19+W19</f>
        <v>210.00000000000003</v>
      </c>
      <c r="AO19" s="19">
        <f t="shared" si="18"/>
        <v>155</v>
      </c>
      <c r="AP19" s="19">
        <f t="shared" si="19"/>
        <v>212.00000000000003</v>
      </c>
      <c r="AQ19" s="19">
        <f t="shared" si="20"/>
        <v>410</v>
      </c>
      <c r="AR19" s="47">
        <f t="shared" si="21"/>
        <v>-211.595</v>
      </c>
      <c r="AS19">
        <f t="shared" si="23"/>
        <v>-255</v>
      </c>
      <c r="AT19">
        <f>IF(R19="Yes",-240,0)</f>
        <v>-240</v>
      </c>
    </row>
    <row r="20" spans="1:47">
      <c r="A20" s="30">
        <f t="shared" si="0"/>
        <v>45827</v>
      </c>
      <c r="B20" s="31">
        <v>45827</v>
      </c>
      <c r="C20" s="32" t="s">
        <v>153</v>
      </c>
      <c r="D20" s="33">
        <v>0</v>
      </c>
      <c r="E20" s="35">
        <f t="shared" si="9"/>
        <v>2.0833333333333332E-2</v>
      </c>
      <c r="F20" s="34">
        <v>30</v>
      </c>
      <c r="G20" s="33">
        <v>0.17708333333333334</v>
      </c>
      <c r="H20" s="36">
        <f t="shared" si="10"/>
        <v>225</v>
      </c>
      <c r="I20" s="37">
        <f t="shared" si="11"/>
        <v>0.16319444444444445</v>
      </c>
      <c r="J20" s="4">
        <v>5</v>
      </c>
      <c r="K20" s="7"/>
      <c r="L20" s="79">
        <v>1.1805555555555555E-2</v>
      </c>
      <c r="M20" s="50">
        <v>3.8194444444444441E-2</v>
      </c>
      <c r="N20" s="50">
        <v>0.15972222222222224</v>
      </c>
      <c r="O20" s="50">
        <v>0.16111111111111112</v>
      </c>
      <c r="P20" s="47">
        <v>0.72413000000000005</v>
      </c>
      <c r="Q20" t="s">
        <v>45</v>
      </c>
      <c r="R20" t="s">
        <v>44</v>
      </c>
      <c r="S20" t="s">
        <v>45</v>
      </c>
      <c r="T20" t="s">
        <v>45</v>
      </c>
      <c r="U20" s="7"/>
      <c r="V20" s="13">
        <f t="shared" si="12"/>
        <v>37.999999999999993</v>
      </c>
      <c r="W20" s="13">
        <f t="shared" si="12"/>
        <v>175.00000000000003</v>
      </c>
      <c r="X20" s="40">
        <f t="shared" si="13"/>
        <v>17</v>
      </c>
      <c r="Y20" s="4">
        <f t="shared" si="13"/>
        <v>24.999999999999996</v>
      </c>
      <c r="Z20" s="4">
        <f t="shared" si="1"/>
        <v>-24.999999999999993</v>
      </c>
      <c r="AA20" s="4">
        <f t="shared" si="2"/>
        <v>-32.999999999999972</v>
      </c>
      <c r="AB20" s="4">
        <f t="shared" si="3"/>
        <v>-23</v>
      </c>
      <c r="AC20" s="13">
        <f t="shared" si="4"/>
        <v>2</v>
      </c>
      <c r="AD20" s="15">
        <f t="shared" si="5"/>
        <v>41.999999999999993</v>
      </c>
      <c r="AG20" s="18">
        <v>0</v>
      </c>
      <c r="AH20" s="19">
        <f t="shared" si="6"/>
        <v>30</v>
      </c>
      <c r="AI20" s="19">
        <f t="shared" si="7"/>
        <v>255</v>
      </c>
      <c r="AJ20" s="20">
        <f t="shared" si="14"/>
        <v>7</v>
      </c>
      <c r="AK20" s="19">
        <f>AJ20</f>
        <v>7</v>
      </c>
      <c r="AL20" s="19">
        <f t="shared" si="16"/>
        <v>55</v>
      </c>
      <c r="AM20" s="19">
        <f t="shared" si="17"/>
        <v>55</v>
      </c>
      <c r="AN20" s="19">
        <f>AM20+W20</f>
        <v>230.00000000000003</v>
      </c>
      <c r="AO20" s="19">
        <f t="shared" si="18"/>
        <v>165</v>
      </c>
      <c r="AP20" s="19">
        <f t="shared" si="19"/>
        <v>232.00000000000003</v>
      </c>
      <c r="AQ20" s="19">
        <f t="shared" si="20"/>
        <v>392</v>
      </c>
      <c r="AR20" s="47">
        <f t="shared" si="21"/>
        <v>-213.79349999999999</v>
      </c>
      <c r="AT20">
        <f t="shared" si="22"/>
        <v>-255</v>
      </c>
    </row>
    <row r="21" spans="1:47">
      <c r="A21" s="30">
        <f t="shared" si="0"/>
        <v>45828</v>
      </c>
      <c r="B21" s="31">
        <v>45828</v>
      </c>
      <c r="C21" s="32" t="s">
        <v>153</v>
      </c>
      <c r="D21" s="33">
        <v>0</v>
      </c>
      <c r="E21" s="35">
        <f t="shared" si="9"/>
        <v>2.0833333333333332E-2</v>
      </c>
      <c r="F21" s="34">
        <v>30</v>
      </c>
      <c r="G21" s="33">
        <v>0.17708333333333334</v>
      </c>
      <c r="H21" s="36">
        <f t="shared" si="10"/>
        <v>225</v>
      </c>
      <c r="I21" s="37">
        <f t="shared" si="11"/>
        <v>0.16319444444444445</v>
      </c>
      <c r="J21" s="4">
        <v>5</v>
      </c>
      <c r="K21" s="7"/>
      <c r="L21" s="79">
        <v>1.5277777777777777E-2</v>
      </c>
      <c r="M21" s="50">
        <v>3.4722222222222224E-2</v>
      </c>
      <c r="N21" s="50">
        <v>0.15972222222222224</v>
      </c>
      <c r="O21" s="50">
        <v>0.16250000000000001</v>
      </c>
      <c r="P21" s="47">
        <v>0.76058999999999999</v>
      </c>
      <c r="Q21" t="s">
        <v>45</v>
      </c>
      <c r="R21" t="s">
        <v>44</v>
      </c>
      <c r="S21" t="s">
        <v>45</v>
      </c>
      <c r="T21" t="s">
        <v>45</v>
      </c>
      <c r="U21" s="7"/>
      <c r="V21" s="13">
        <f t="shared" si="12"/>
        <v>28</v>
      </c>
      <c r="W21" s="13">
        <f t="shared" si="12"/>
        <v>180</v>
      </c>
      <c r="X21" s="40">
        <f t="shared" si="13"/>
        <v>22</v>
      </c>
      <c r="Y21" s="4">
        <f t="shared" si="13"/>
        <v>20.000000000000004</v>
      </c>
      <c r="Z21" s="4">
        <f t="shared" si="1"/>
        <v>-24.999999999999993</v>
      </c>
      <c r="AA21" s="4">
        <f t="shared" si="2"/>
        <v>-23</v>
      </c>
      <c r="AB21" s="4">
        <f t="shared" si="3"/>
        <v>-21.000000000000007</v>
      </c>
      <c r="AC21" s="13">
        <f t="shared" si="4"/>
        <v>4</v>
      </c>
      <c r="AD21" s="15">
        <f t="shared" si="5"/>
        <v>46.999999999999993</v>
      </c>
      <c r="AG21" s="18">
        <v>0</v>
      </c>
      <c r="AH21" s="19">
        <f t="shared" si="6"/>
        <v>30</v>
      </c>
      <c r="AI21" s="19">
        <f t="shared" si="7"/>
        <v>255</v>
      </c>
      <c r="AJ21" s="20">
        <f t="shared" si="14"/>
        <v>12</v>
      </c>
      <c r="AK21" s="19">
        <f t="shared" ref="AK21:AK31" si="24">AJ21</f>
        <v>12</v>
      </c>
      <c r="AL21" s="19">
        <f t="shared" si="16"/>
        <v>50</v>
      </c>
      <c r="AM21" s="19">
        <f t="shared" si="17"/>
        <v>50</v>
      </c>
      <c r="AN21" s="19">
        <f t="shared" ref="AN21:AN31" si="25">AM21+W21</f>
        <v>230</v>
      </c>
      <c r="AO21" s="19">
        <f t="shared" si="18"/>
        <v>165</v>
      </c>
      <c r="AP21" s="19">
        <f t="shared" si="19"/>
        <v>234</v>
      </c>
      <c r="AQ21" s="19">
        <f t="shared" si="20"/>
        <v>397</v>
      </c>
      <c r="AR21" s="47">
        <f t="shared" si="21"/>
        <v>-211.97050000000002</v>
      </c>
      <c r="AT21">
        <f t="shared" si="22"/>
        <v>-255</v>
      </c>
    </row>
    <row r="22" spans="1:47">
      <c r="A22" s="30">
        <f t="shared" si="0"/>
        <v>45829</v>
      </c>
      <c r="B22" s="31">
        <v>45829</v>
      </c>
      <c r="C22" s="32" t="s">
        <v>153</v>
      </c>
      <c r="D22" s="33">
        <v>0</v>
      </c>
      <c r="E22" s="35">
        <f t="shared" si="9"/>
        <v>2.0833333333333332E-2</v>
      </c>
      <c r="F22" s="34">
        <v>30</v>
      </c>
      <c r="G22" s="33">
        <v>0.17708333333333334</v>
      </c>
      <c r="H22" s="36">
        <f t="shared" si="10"/>
        <v>225</v>
      </c>
      <c r="I22" s="37">
        <f t="shared" si="11"/>
        <v>0.16805555555555554</v>
      </c>
      <c r="J22" s="4">
        <v>5</v>
      </c>
      <c r="K22" s="7"/>
      <c r="L22" s="79">
        <v>2.6388888888888889E-2</v>
      </c>
      <c r="M22" s="50">
        <v>3.8194444444444441E-2</v>
      </c>
      <c r="N22" s="50">
        <v>0.16458333333333333</v>
      </c>
      <c r="O22" s="50">
        <v>0.16666666666666666</v>
      </c>
      <c r="P22" s="47">
        <v>0.73980999999999997</v>
      </c>
      <c r="Q22" t="s">
        <v>44</v>
      </c>
      <c r="R22" t="s">
        <v>45</v>
      </c>
      <c r="S22" t="s">
        <v>44</v>
      </c>
      <c r="T22" t="s">
        <v>45</v>
      </c>
      <c r="U22" s="7"/>
      <c r="V22" s="13">
        <f t="shared" si="12"/>
        <v>16.999999999999993</v>
      </c>
      <c r="W22" s="13">
        <f t="shared" si="12"/>
        <v>182</v>
      </c>
      <c r="X22" s="40">
        <f t="shared" si="13"/>
        <v>38</v>
      </c>
      <c r="Y22" s="4">
        <f t="shared" si="13"/>
        <v>24.999999999999996</v>
      </c>
      <c r="Z22" s="4">
        <f t="shared" si="1"/>
        <v>-18.000000000000014</v>
      </c>
      <c r="AA22" s="4">
        <f t="shared" si="2"/>
        <v>-5</v>
      </c>
      <c r="AB22" s="4">
        <f t="shared" si="3"/>
        <v>-15.000000000000027</v>
      </c>
      <c r="AC22" s="13">
        <f t="shared" si="4"/>
        <v>3</v>
      </c>
      <c r="AD22" s="15">
        <f t="shared" si="5"/>
        <v>56.000000000000014</v>
      </c>
      <c r="AG22" s="18">
        <v>0</v>
      </c>
      <c r="AH22" s="19">
        <f t="shared" si="6"/>
        <v>30</v>
      </c>
      <c r="AI22" s="19">
        <f t="shared" si="7"/>
        <v>255</v>
      </c>
      <c r="AJ22" s="20">
        <f t="shared" si="14"/>
        <v>28</v>
      </c>
      <c r="AK22" s="19">
        <f t="shared" si="24"/>
        <v>28</v>
      </c>
      <c r="AL22" s="19">
        <f t="shared" si="16"/>
        <v>55</v>
      </c>
      <c r="AM22" s="19">
        <f t="shared" si="17"/>
        <v>55</v>
      </c>
      <c r="AN22" s="19">
        <f t="shared" si="25"/>
        <v>237</v>
      </c>
      <c r="AO22" s="19">
        <f t="shared" si="18"/>
        <v>168.5</v>
      </c>
      <c r="AP22" s="19">
        <f t="shared" si="19"/>
        <v>240</v>
      </c>
      <c r="AQ22" s="19">
        <f t="shared" si="20"/>
        <v>406</v>
      </c>
      <c r="AR22" s="47">
        <f t="shared" si="21"/>
        <v>-213.0095</v>
      </c>
      <c r="AS22">
        <f t="shared" si="23"/>
        <v>-255</v>
      </c>
      <c r="AU22">
        <f t="shared" ref="AU22" si="26">IF(S22="Yes",-240,0)</f>
        <v>-240</v>
      </c>
    </row>
    <row r="23" spans="1:47">
      <c r="A23" s="30">
        <f t="shared" si="0"/>
        <v>45830</v>
      </c>
      <c r="B23" s="31">
        <v>45830</v>
      </c>
      <c r="C23" s="32" t="s">
        <v>153</v>
      </c>
      <c r="D23" s="33">
        <v>0</v>
      </c>
      <c r="E23" s="35">
        <f t="shared" si="9"/>
        <v>2.0833333333333332E-2</v>
      </c>
      <c r="F23" s="34">
        <v>30</v>
      </c>
      <c r="G23" s="33">
        <v>0.17708333333333334</v>
      </c>
      <c r="H23" s="36">
        <f t="shared" si="10"/>
        <v>225</v>
      </c>
      <c r="I23" s="37">
        <f t="shared" si="11"/>
        <v>0.1534722222222222</v>
      </c>
      <c r="J23" s="4">
        <v>5</v>
      </c>
      <c r="K23" s="7"/>
      <c r="L23" s="79">
        <v>1.1111111111111112E-2</v>
      </c>
      <c r="M23" s="50">
        <v>2.4999999999999998E-2</v>
      </c>
      <c r="N23" s="50">
        <v>0.15</v>
      </c>
      <c r="O23" s="50">
        <v>0.15208333333333332</v>
      </c>
      <c r="P23" s="47">
        <v>0.73348000000000002</v>
      </c>
      <c r="Q23" t="s">
        <v>44</v>
      </c>
      <c r="R23" t="s">
        <v>45</v>
      </c>
      <c r="S23" t="s">
        <v>45</v>
      </c>
      <c r="T23" t="s">
        <v>45</v>
      </c>
      <c r="U23" s="7"/>
      <c r="V23" s="13">
        <f t="shared" si="12"/>
        <v>19.999999999999996</v>
      </c>
      <c r="W23" s="13">
        <f t="shared" si="12"/>
        <v>180</v>
      </c>
      <c r="X23" s="40">
        <f t="shared" si="13"/>
        <v>16</v>
      </c>
      <c r="Y23" s="4">
        <f t="shared" si="13"/>
        <v>5.9999999999999982</v>
      </c>
      <c r="Z23" s="4">
        <f t="shared" si="1"/>
        <v>-39.000000000000021</v>
      </c>
      <c r="AA23" s="4">
        <f t="shared" si="2"/>
        <v>-29</v>
      </c>
      <c r="AB23" s="4">
        <f t="shared" si="3"/>
        <v>-36.000000000000028</v>
      </c>
      <c r="AC23" s="13">
        <f t="shared" si="4"/>
        <v>3</v>
      </c>
      <c r="AD23" s="15">
        <f t="shared" si="5"/>
        <v>55.000000000000021</v>
      </c>
      <c r="AG23" s="18">
        <v>0</v>
      </c>
      <c r="AH23" s="19">
        <f t="shared" si="6"/>
        <v>30</v>
      </c>
      <c r="AI23" s="19">
        <f t="shared" si="7"/>
        <v>255</v>
      </c>
      <c r="AJ23" s="20">
        <f t="shared" si="14"/>
        <v>6</v>
      </c>
      <c r="AK23" s="19">
        <f t="shared" si="24"/>
        <v>6</v>
      </c>
      <c r="AL23" s="19">
        <f t="shared" si="16"/>
        <v>36</v>
      </c>
      <c r="AM23" s="19">
        <f t="shared" si="17"/>
        <v>36</v>
      </c>
      <c r="AN23" s="19">
        <f t="shared" si="25"/>
        <v>216</v>
      </c>
      <c r="AO23" s="19">
        <f t="shared" si="18"/>
        <v>158</v>
      </c>
      <c r="AP23" s="19">
        <f t="shared" si="19"/>
        <v>219</v>
      </c>
      <c r="AQ23" s="19">
        <f t="shared" si="20"/>
        <v>405</v>
      </c>
      <c r="AR23" s="47">
        <f t="shared" si="21"/>
        <v>-213.32599999999999</v>
      </c>
      <c r="AS23">
        <f t="shared" si="23"/>
        <v>-255</v>
      </c>
    </row>
    <row r="24" spans="1:47">
      <c r="A24" s="30">
        <f t="shared" si="0"/>
        <v>45831</v>
      </c>
      <c r="B24" s="31">
        <v>45831</v>
      </c>
      <c r="C24" s="32" t="s">
        <v>153</v>
      </c>
      <c r="D24" s="33">
        <v>0</v>
      </c>
      <c r="E24" s="35">
        <f t="shared" si="9"/>
        <v>2.0833333333333332E-2</v>
      </c>
      <c r="F24" s="34">
        <v>30</v>
      </c>
      <c r="G24" s="33">
        <v>0.17708333333333334</v>
      </c>
      <c r="H24" s="36">
        <f t="shared" si="10"/>
        <v>225</v>
      </c>
      <c r="I24" s="37">
        <f t="shared" si="11"/>
        <v>0.16805555555555554</v>
      </c>
      <c r="J24" s="4">
        <v>5</v>
      </c>
      <c r="K24" s="7"/>
      <c r="L24" s="79">
        <v>2.4305555555555556E-2</v>
      </c>
      <c r="M24" s="50">
        <v>3.8194444444444441E-2</v>
      </c>
      <c r="N24" s="50">
        <v>0.16458333333333333</v>
      </c>
      <c r="O24" s="50">
        <v>0.16666666666666666</v>
      </c>
      <c r="P24" s="47">
        <v>0.74707000000000001</v>
      </c>
      <c r="Q24" t="s">
        <v>44</v>
      </c>
      <c r="R24" t="s">
        <v>45</v>
      </c>
      <c r="S24" t="s">
        <v>45</v>
      </c>
      <c r="T24" t="s">
        <v>45</v>
      </c>
      <c r="U24" s="7"/>
      <c r="V24" s="13">
        <f t="shared" si="12"/>
        <v>19.999999999999993</v>
      </c>
      <c r="W24" s="13">
        <f t="shared" si="12"/>
        <v>182</v>
      </c>
      <c r="X24" s="40">
        <f t="shared" si="13"/>
        <v>35</v>
      </c>
      <c r="Y24" s="4">
        <f t="shared" si="13"/>
        <v>24.999999999999996</v>
      </c>
      <c r="Z24" s="4">
        <f t="shared" si="1"/>
        <v>-18.000000000000014</v>
      </c>
      <c r="AA24" s="4">
        <f t="shared" si="2"/>
        <v>-8</v>
      </c>
      <c r="AB24" s="4">
        <f t="shared" si="3"/>
        <v>-15.000000000000027</v>
      </c>
      <c r="AC24" s="13">
        <f t="shared" si="4"/>
        <v>3</v>
      </c>
      <c r="AD24" s="15">
        <f t="shared" si="5"/>
        <v>53.000000000000014</v>
      </c>
      <c r="AG24" s="18">
        <v>0</v>
      </c>
      <c r="AH24" s="19">
        <f t="shared" si="6"/>
        <v>30</v>
      </c>
      <c r="AI24" s="19">
        <f t="shared" si="7"/>
        <v>255</v>
      </c>
      <c r="AJ24" s="20">
        <f t="shared" si="14"/>
        <v>25</v>
      </c>
      <c r="AK24" s="19">
        <f t="shared" si="24"/>
        <v>25</v>
      </c>
      <c r="AL24" s="19">
        <f t="shared" si="16"/>
        <v>55</v>
      </c>
      <c r="AM24" s="19">
        <f t="shared" si="17"/>
        <v>55</v>
      </c>
      <c r="AN24" s="19">
        <f t="shared" si="25"/>
        <v>237</v>
      </c>
      <c r="AO24" s="19">
        <f t="shared" si="18"/>
        <v>168.5</v>
      </c>
      <c r="AP24" s="19">
        <f t="shared" si="19"/>
        <v>240</v>
      </c>
      <c r="AQ24" s="19">
        <f t="shared" si="20"/>
        <v>403</v>
      </c>
      <c r="AR24" s="47">
        <f t="shared" si="21"/>
        <v>-212.6465</v>
      </c>
      <c r="AS24">
        <f t="shared" si="23"/>
        <v>-255</v>
      </c>
    </row>
    <row r="25" spans="1:47">
      <c r="A25" s="30">
        <f t="shared" si="0"/>
        <v>45832</v>
      </c>
      <c r="B25" s="31">
        <v>45832</v>
      </c>
      <c r="C25" s="32" t="s">
        <v>153</v>
      </c>
      <c r="D25" s="33">
        <v>0</v>
      </c>
      <c r="E25" s="35">
        <f t="shared" si="9"/>
        <v>2.0833333333333332E-2</v>
      </c>
      <c r="F25" s="34">
        <v>30</v>
      </c>
      <c r="G25" s="33">
        <v>0.17708333333333334</v>
      </c>
      <c r="H25" s="36">
        <f t="shared" si="10"/>
        <v>225</v>
      </c>
      <c r="I25" s="37">
        <f t="shared" si="11"/>
        <v>0.15069444444444444</v>
      </c>
      <c r="J25" s="4">
        <v>5</v>
      </c>
      <c r="K25" s="7"/>
      <c r="L25" s="79">
        <v>1.3888888888888888E-2</v>
      </c>
      <c r="M25" s="50">
        <v>2.7777777777777776E-2</v>
      </c>
      <c r="N25" s="50">
        <v>0.14722222222222223</v>
      </c>
      <c r="O25" s="50">
        <v>0.14930555555555555</v>
      </c>
      <c r="P25" s="47">
        <v>0.73016000000000003</v>
      </c>
      <c r="Q25" t="s">
        <v>45</v>
      </c>
      <c r="R25" t="s">
        <v>45</v>
      </c>
      <c r="S25" t="s">
        <v>45</v>
      </c>
      <c r="T25" t="s">
        <v>45</v>
      </c>
      <c r="U25" s="7"/>
      <c r="V25" s="13">
        <f t="shared" si="12"/>
        <v>20</v>
      </c>
      <c r="W25" s="13">
        <f t="shared" si="12"/>
        <v>172</v>
      </c>
      <c r="X25" s="40">
        <f t="shared" si="13"/>
        <v>20</v>
      </c>
      <c r="Y25" s="4">
        <f t="shared" si="13"/>
        <v>10</v>
      </c>
      <c r="Z25" s="4">
        <f t="shared" si="1"/>
        <v>-43.000000000000007</v>
      </c>
      <c r="AA25" s="4">
        <f t="shared" si="2"/>
        <v>-33</v>
      </c>
      <c r="AB25" s="4">
        <f t="shared" si="3"/>
        <v>-40.000000000000014</v>
      </c>
      <c r="AC25" s="13">
        <f t="shared" si="4"/>
        <v>3</v>
      </c>
      <c r="AD25" s="15">
        <f t="shared" si="5"/>
        <v>63.000000000000007</v>
      </c>
      <c r="AG25" s="18">
        <v>0</v>
      </c>
      <c r="AH25" s="19">
        <f t="shared" si="6"/>
        <v>30</v>
      </c>
      <c r="AI25" s="19">
        <f t="shared" si="7"/>
        <v>255</v>
      </c>
      <c r="AJ25" s="20">
        <f t="shared" si="14"/>
        <v>10</v>
      </c>
      <c r="AK25" s="19">
        <f t="shared" si="24"/>
        <v>10</v>
      </c>
      <c r="AL25" s="19">
        <f t="shared" si="16"/>
        <v>40</v>
      </c>
      <c r="AM25" s="19">
        <f t="shared" si="17"/>
        <v>40</v>
      </c>
      <c r="AN25" s="19">
        <f t="shared" si="25"/>
        <v>212</v>
      </c>
      <c r="AO25" s="19">
        <f t="shared" si="18"/>
        <v>156</v>
      </c>
      <c r="AP25" s="19">
        <f t="shared" si="19"/>
        <v>215</v>
      </c>
      <c r="AQ25" s="19">
        <f t="shared" si="20"/>
        <v>413</v>
      </c>
      <c r="AR25" s="47">
        <f t="shared" si="21"/>
        <v>-213.49199999999999</v>
      </c>
    </row>
    <row r="26" spans="1:47">
      <c r="A26" s="30">
        <f t="shared" si="0"/>
        <v>45833</v>
      </c>
      <c r="B26" s="31">
        <v>45833</v>
      </c>
      <c r="C26" s="32" t="s">
        <v>153</v>
      </c>
      <c r="D26" s="33">
        <v>0</v>
      </c>
      <c r="E26" s="35">
        <f t="shared" si="9"/>
        <v>2.0833333333333332E-2</v>
      </c>
      <c r="F26" s="34">
        <v>30</v>
      </c>
      <c r="G26" s="33">
        <v>0.17708333333333334</v>
      </c>
      <c r="H26" s="36">
        <f t="shared" si="10"/>
        <v>225</v>
      </c>
      <c r="I26" s="37">
        <f t="shared" si="11"/>
        <v>0.15416666666666665</v>
      </c>
      <c r="J26" s="4">
        <v>5</v>
      </c>
      <c r="K26" s="7"/>
      <c r="L26" s="79">
        <v>9.0277777777777787E-3</v>
      </c>
      <c r="M26" s="50">
        <v>2.4305555555555556E-2</v>
      </c>
      <c r="N26" s="50">
        <v>0.15069444444444444</v>
      </c>
      <c r="O26" s="50">
        <v>0.15277777777777779</v>
      </c>
      <c r="P26" s="47">
        <v>0.83472000000000002</v>
      </c>
      <c r="Q26" t="s">
        <v>45</v>
      </c>
      <c r="R26" t="s">
        <v>44</v>
      </c>
      <c r="S26" t="s">
        <v>45</v>
      </c>
      <c r="T26" t="s">
        <v>45</v>
      </c>
      <c r="U26" s="7"/>
      <c r="V26" s="13">
        <f t="shared" si="12"/>
        <v>22</v>
      </c>
      <c r="W26" s="13">
        <f t="shared" si="12"/>
        <v>182</v>
      </c>
      <c r="X26" s="40">
        <f t="shared" si="13"/>
        <v>13.000000000000002</v>
      </c>
      <c r="Y26" s="4">
        <f t="shared" si="13"/>
        <v>5.0000000000000018</v>
      </c>
      <c r="Z26" s="4">
        <f t="shared" si="1"/>
        <v>-38.000000000000028</v>
      </c>
      <c r="AA26" s="4">
        <f t="shared" si="2"/>
        <v>-30</v>
      </c>
      <c r="AB26" s="4">
        <f t="shared" si="3"/>
        <v>-34.999999999999993</v>
      </c>
      <c r="AC26" s="13">
        <f t="shared" si="4"/>
        <v>3</v>
      </c>
      <c r="AD26" s="15">
        <f t="shared" si="5"/>
        <v>51.000000000000028</v>
      </c>
      <c r="AG26" s="18">
        <v>0</v>
      </c>
      <c r="AH26" s="19">
        <f t="shared" si="6"/>
        <v>30</v>
      </c>
      <c r="AI26" s="19">
        <f t="shared" si="7"/>
        <v>255</v>
      </c>
      <c r="AJ26" s="20">
        <f t="shared" si="14"/>
        <v>3.0000000000000018</v>
      </c>
      <c r="AK26" s="19">
        <f t="shared" si="24"/>
        <v>3.0000000000000018</v>
      </c>
      <c r="AL26" s="19">
        <f t="shared" si="16"/>
        <v>35</v>
      </c>
      <c r="AM26" s="19">
        <f t="shared" si="17"/>
        <v>35</v>
      </c>
      <c r="AN26" s="19">
        <f t="shared" si="25"/>
        <v>217</v>
      </c>
      <c r="AO26" s="19">
        <f t="shared" si="18"/>
        <v>158.5</v>
      </c>
      <c r="AP26" s="19">
        <f t="shared" si="19"/>
        <v>220</v>
      </c>
      <c r="AQ26" s="19">
        <f t="shared" si="20"/>
        <v>401</v>
      </c>
      <c r="AR26" s="47">
        <f t="shared" si="21"/>
        <v>-208.26400000000001</v>
      </c>
      <c r="AT26">
        <f t="shared" si="22"/>
        <v>-255</v>
      </c>
    </row>
    <row r="27" spans="1:47">
      <c r="A27" s="30">
        <f t="shared" si="0"/>
        <v>45834</v>
      </c>
      <c r="B27" s="31">
        <v>45834</v>
      </c>
      <c r="C27" s="32" t="s">
        <v>153</v>
      </c>
      <c r="D27" s="33">
        <v>0</v>
      </c>
      <c r="E27" s="35">
        <f t="shared" si="9"/>
        <v>2.0833333333333332E-2</v>
      </c>
      <c r="F27" s="34">
        <v>30</v>
      </c>
      <c r="G27" s="33">
        <v>0.17708333333333334</v>
      </c>
      <c r="H27" s="36">
        <f t="shared" si="10"/>
        <v>225</v>
      </c>
      <c r="I27" s="37">
        <f t="shared" si="11"/>
        <v>0.15069444444444444</v>
      </c>
      <c r="J27" s="4">
        <v>5</v>
      </c>
      <c r="K27" s="7"/>
      <c r="L27" s="79">
        <v>2.7777777777777776E-2</v>
      </c>
      <c r="M27" s="50">
        <v>3.9583333333333331E-2</v>
      </c>
      <c r="N27" s="50">
        <v>0.14722222222222223</v>
      </c>
      <c r="O27" s="50">
        <v>0.14861111111111111</v>
      </c>
      <c r="P27" s="47">
        <v>0.73451</v>
      </c>
      <c r="Q27" t="s">
        <v>45</v>
      </c>
      <c r="R27" t="s">
        <v>45</v>
      </c>
      <c r="S27" t="s">
        <v>45</v>
      </c>
      <c r="T27" t="s">
        <v>45</v>
      </c>
      <c r="U27" s="7"/>
      <c r="V27" s="13">
        <f t="shared" si="12"/>
        <v>17</v>
      </c>
      <c r="W27" s="13">
        <f t="shared" si="12"/>
        <v>155</v>
      </c>
      <c r="X27" s="40">
        <f t="shared" si="13"/>
        <v>40</v>
      </c>
      <c r="Y27" s="4">
        <f t="shared" si="13"/>
        <v>27</v>
      </c>
      <c r="Z27" s="4">
        <f t="shared" si="1"/>
        <v>-43.000000000000007</v>
      </c>
      <c r="AA27" s="4">
        <f t="shared" si="2"/>
        <v>-30</v>
      </c>
      <c r="AB27" s="4">
        <f t="shared" si="3"/>
        <v>-41.000000000000014</v>
      </c>
      <c r="AC27" s="13">
        <f t="shared" si="4"/>
        <v>2</v>
      </c>
      <c r="AD27" s="15">
        <f t="shared" si="5"/>
        <v>83</v>
      </c>
      <c r="AG27" s="18">
        <v>0</v>
      </c>
      <c r="AH27" s="19">
        <f t="shared" si="6"/>
        <v>30</v>
      </c>
      <c r="AI27" s="19">
        <f t="shared" si="7"/>
        <v>255</v>
      </c>
      <c r="AJ27" s="20">
        <f t="shared" si="14"/>
        <v>30</v>
      </c>
      <c r="AK27" s="19">
        <f t="shared" si="24"/>
        <v>30</v>
      </c>
      <c r="AL27" s="19">
        <f t="shared" si="16"/>
        <v>57</v>
      </c>
      <c r="AM27" s="19">
        <f t="shared" si="17"/>
        <v>57</v>
      </c>
      <c r="AN27" s="19">
        <f t="shared" si="25"/>
        <v>212</v>
      </c>
      <c r="AO27" s="19">
        <f t="shared" si="18"/>
        <v>156</v>
      </c>
      <c r="AP27" s="19">
        <f t="shared" si="19"/>
        <v>214</v>
      </c>
      <c r="AQ27" s="19">
        <f t="shared" si="20"/>
        <v>433</v>
      </c>
      <c r="AR27" s="47">
        <f t="shared" si="21"/>
        <v>-213.27449999999999</v>
      </c>
    </row>
    <row r="28" spans="1:47">
      <c r="A28" s="30">
        <f t="shared" si="0"/>
        <v>45835</v>
      </c>
      <c r="B28" s="31">
        <v>45835</v>
      </c>
      <c r="C28" s="32" t="s">
        <v>153</v>
      </c>
      <c r="D28" s="33">
        <v>0</v>
      </c>
      <c r="E28" s="35">
        <f t="shared" si="9"/>
        <v>2.0833333333333332E-2</v>
      </c>
      <c r="F28" s="34">
        <v>30</v>
      </c>
      <c r="G28" s="33">
        <v>0.17708333333333334</v>
      </c>
      <c r="H28" s="36">
        <f t="shared" si="10"/>
        <v>225</v>
      </c>
      <c r="I28" s="37">
        <f t="shared" si="11"/>
        <v>0.15624999999999997</v>
      </c>
      <c r="J28" s="4">
        <v>5</v>
      </c>
      <c r="K28" s="7"/>
      <c r="L28" s="79">
        <v>1.4583333333333332E-2</v>
      </c>
      <c r="M28" s="50">
        <v>3.6111111111111115E-2</v>
      </c>
      <c r="N28" s="50">
        <v>0.15277777777777776</v>
      </c>
      <c r="O28" s="50">
        <v>0.15416666666666667</v>
      </c>
      <c r="P28" s="47">
        <v>0.74548999999999999</v>
      </c>
      <c r="Q28" t="s">
        <v>44</v>
      </c>
      <c r="R28" t="s">
        <v>44</v>
      </c>
      <c r="S28" t="s">
        <v>45</v>
      </c>
      <c r="T28" t="s">
        <v>45</v>
      </c>
      <c r="U28" s="7"/>
      <c r="V28" s="13">
        <f t="shared" si="12"/>
        <v>31.000000000000011</v>
      </c>
      <c r="W28" s="13">
        <f t="shared" si="12"/>
        <v>167.99999999999997</v>
      </c>
      <c r="X28" s="40">
        <f t="shared" si="13"/>
        <v>20.999999999999996</v>
      </c>
      <c r="Y28" s="4">
        <f t="shared" si="13"/>
        <v>22.000000000000007</v>
      </c>
      <c r="Z28" s="4">
        <f t="shared" si="1"/>
        <v>-35.000000000000036</v>
      </c>
      <c r="AA28" s="4">
        <f t="shared" si="2"/>
        <v>-36.000000000000028</v>
      </c>
      <c r="AB28" s="4">
        <f t="shared" si="3"/>
        <v>-33</v>
      </c>
      <c r="AC28" s="13">
        <f t="shared" si="4"/>
        <v>2</v>
      </c>
      <c r="AD28" s="15">
        <f t="shared" si="5"/>
        <v>56.000000000000028</v>
      </c>
      <c r="AG28" s="18">
        <v>0</v>
      </c>
      <c r="AH28" s="19">
        <f t="shared" si="6"/>
        <v>30</v>
      </c>
      <c r="AI28" s="19">
        <f t="shared" si="7"/>
        <v>255</v>
      </c>
      <c r="AJ28" s="20">
        <f t="shared" si="14"/>
        <v>10.999999999999996</v>
      </c>
      <c r="AK28" s="19">
        <f t="shared" si="24"/>
        <v>10.999999999999996</v>
      </c>
      <c r="AL28" s="19">
        <f t="shared" si="16"/>
        <v>52.000000000000007</v>
      </c>
      <c r="AM28" s="19">
        <f t="shared" si="17"/>
        <v>52.000000000000007</v>
      </c>
      <c r="AN28" s="19">
        <f t="shared" si="25"/>
        <v>219.99999999999997</v>
      </c>
      <c r="AO28" s="19">
        <f t="shared" si="18"/>
        <v>160</v>
      </c>
      <c r="AP28" s="19">
        <f t="shared" si="19"/>
        <v>221.99999999999997</v>
      </c>
      <c r="AQ28" s="19">
        <f t="shared" si="20"/>
        <v>406</v>
      </c>
      <c r="AR28" s="47">
        <f t="shared" si="21"/>
        <v>-212.72550000000001</v>
      </c>
      <c r="AS28">
        <f t="shared" si="23"/>
        <v>-255</v>
      </c>
      <c r="AT28">
        <f>IF(R28="Yes",-240,0)</f>
        <v>-240</v>
      </c>
    </row>
    <row r="29" spans="1:47">
      <c r="A29" s="30">
        <f t="shared" si="0"/>
        <v>45836</v>
      </c>
      <c r="B29" s="31">
        <v>45836</v>
      </c>
      <c r="C29" s="32" t="s">
        <v>153</v>
      </c>
      <c r="D29" s="33">
        <v>0</v>
      </c>
      <c r="E29" s="35">
        <f t="shared" si="9"/>
        <v>2.0833333333333332E-2</v>
      </c>
      <c r="F29" s="34">
        <v>30</v>
      </c>
      <c r="G29" s="33">
        <v>0.17708333333333334</v>
      </c>
      <c r="H29" s="36">
        <f t="shared" si="10"/>
        <v>225</v>
      </c>
      <c r="I29" s="37">
        <f t="shared" si="11"/>
        <v>0.17013888888888887</v>
      </c>
      <c r="J29" s="4">
        <v>5</v>
      </c>
      <c r="K29" s="7"/>
      <c r="L29" s="79">
        <v>1.7361111111111112E-2</v>
      </c>
      <c r="M29" s="50">
        <v>3.8194444444444441E-2</v>
      </c>
      <c r="N29" s="50">
        <v>0.16666666666666666</v>
      </c>
      <c r="O29" s="50">
        <v>0.1701388888888889</v>
      </c>
      <c r="P29" s="47">
        <v>0.75302000000000002</v>
      </c>
      <c r="Q29" t="s">
        <v>44</v>
      </c>
      <c r="R29" t="s">
        <v>45</v>
      </c>
      <c r="S29" t="s">
        <v>45</v>
      </c>
      <c r="T29" t="s">
        <v>45</v>
      </c>
      <c r="U29" s="7"/>
      <c r="V29" s="13">
        <f t="shared" si="12"/>
        <v>29.999999999999993</v>
      </c>
      <c r="W29" s="13">
        <f t="shared" si="12"/>
        <v>184.99999999999997</v>
      </c>
      <c r="X29" s="40">
        <f t="shared" si="13"/>
        <v>25</v>
      </c>
      <c r="Y29" s="4">
        <f t="shared" si="13"/>
        <v>24.999999999999996</v>
      </c>
      <c r="Z29" s="4">
        <f t="shared" si="1"/>
        <v>-15.000000000000027</v>
      </c>
      <c r="AA29" s="4">
        <f t="shared" si="2"/>
        <v>-15.000000000000028</v>
      </c>
      <c r="AB29" s="4">
        <f t="shared" si="3"/>
        <v>-10.000000000000004</v>
      </c>
      <c r="AC29" s="13">
        <f t="shared" si="4"/>
        <v>5</v>
      </c>
      <c r="AD29" s="15">
        <f t="shared" si="5"/>
        <v>40.000000000000028</v>
      </c>
      <c r="AG29" s="18">
        <v>0</v>
      </c>
      <c r="AH29" s="19">
        <f t="shared" si="6"/>
        <v>30</v>
      </c>
      <c r="AI29" s="19">
        <f t="shared" si="7"/>
        <v>255</v>
      </c>
      <c r="AJ29" s="20">
        <f t="shared" si="14"/>
        <v>15</v>
      </c>
      <c r="AK29" s="19">
        <f t="shared" si="24"/>
        <v>15</v>
      </c>
      <c r="AL29" s="19">
        <f t="shared" si="16"/>
        <v>55</v>
      </c>
      <c r="AM29" s="19">
        <f t="shared" si="17"/>
        <v>55</v>
      </c>
      <c r="AN29" s="19">
        <f t="shared" si="25"/>
        <v>239.99999999999997</v>
      </c>
      <c r="AO29" s="19">
        <f t="shared" si="18"/>
        <v>170</v>
      </c>
      <c r="AP29" s="19">
        <f t="shared" si="19"/>
        <v>244.99999999999997</v>
      </c>
      <c r="AQ29" s="19">
        <f t="shared" si="20"/>
        <v>390</v>
      </c>
      <c r="AR29" s="47">
        <f t="shared" si="21"/>
        <v>-212.34899999999999</v>
      </c>
      <c r="AS29">
        <f t="shared" si="23"/>
        <v>-255</v>
      </c>
    </row>
    <row r="30" spans="1:47">
      <c r="A30" s="30">
        <f t="shared" si="0"/>
        <v>45837</v>
      </c>
      <c r="B30" s="31">
        <v>45837</v>
      </c>
      <c r="C30" s="32" t="s">
        <v>153</v>
      </c>
      <c r="D30" s="33">
        <v>0</v>
      </c>
      <c r="E30" s="35">
        <f t="shared" si="9"/>
        <v>2.0833333333333332E-2</v>
      </c>
      <c r="F30" s="34">
        <v>30</v>
      </c>
      <c r="G30" s="33">
        <v>0.17708333333333334</v>
      </c>
      <c r="H30" s="36">
        <f t="shared" si="10"/>
        <v>225</v>
      </c>
      <c r="I30" s="37">
        <f t="shared" si="11"/>
        <v>0.16458333333333333</v>
      </c>
      <c r="J30" s="4">
        <v>5</v>
      </c>
      <c r="K30" s="7"/>
      <c r="L30" s="79">
        <v>1.0416666666666666E-2</v>
      </c>
      <c r="M30" s="50">
        <v>3.125E-2</v>
      </c>
      <c r="N30" s="50">
        <v>0.16111111111111112</v>
      </c>
      <c r="O30" s="50">
        <v>0.16180555555555556</v>
      </c>
      <c r="P30" s="47">
        <v>0.76368000000000003</v>
      </c>
      <c r="Q30" t="s">
        <v>45</v>
      </c>
      <c r="R30" t="s">
        <v>45</v>
      </c>
      <c r="S30" t="s">
        <v>45</v>
      </c>
      <c r="T30" t="s">
        <v>45</v>
      </c>
      <c r="U30" s="7"/>
      <c r="V30" s="13">
        <f t="shared" si="12"/>
        <v>30.000000000000004</v>
      </c>
      <c r="W30" s="13">
        <f t="shared" si="12"/>
        <v>187.00000000000003</v>
      </c>
      <c r="X30" s="40">
        <f t="shared" si="13"/>
        <v>15</v>
      </c>
      <c r="Y30" s="4">
        <f t="shared" si="13"/>
        <v>15.000000000000002</v>
      </c>
      <c r="Z30" s="4">
        <f t="shared" si="1"/>
        <v>-23</v>
      </c>
      <c r="AA30" s="4">
        <f t="shared" si="2"/>
        <v>-22.999999999999972</v>
      </c>
      <c r="AB30" s="4">
        <f t="shared" si="3"/>
        <v>-22</v>
      </c>
      <c r="AC30" s="13">
        <f t="shared" si="4"/>
        <v>1</v>
      </c>
      <c r="AD30" s="15">
        <f t="shared" si="5"/>
        <v>38</v>
      </c>
      <c r="AG30" s="18">
        <v>0</v>
      </c>
      <c r="AH30" s="19">
        <f t="shared" si="6"/>
        <v>30</v>
      </c>
      <c r="AI30" s="19">
        <f t="shared" si="7"/>
        <v>255</v>
      </c>
      <c r="AJ30" s="20">
        <f t="shared" si="14"/>
        <v>5</v>
      </c>
      <c r="AK30" s="19">
        <f t="shared" si="24"/>
        <v>5</v>
      </c>
      <c r="AL30" s="19">
        <f t="shared" si="16"/>
        <v>45</v>
      </c>
      <c r="AM30" s="19">
        <f t="shared" si="17"/>
        <v>45</v>
      </c>
      <c r="AN30" s="19">
        <f t="shared" si="25"/>
        <v>232.00000000000003</v>
      </c>
      <c r="AO30" s="19">
        <f t="shared" si="18"/>
        <v>166</v>
      </c>
      <c r="AP30" s="19">
        <f t="shared" si="19"/>
        <v>233.00000000000003</v>
      </c>
      <c r="AQ30" s="19">
        <f t="shared" si="20"/>
        <v>388</v>
      </c>
      <c r="AR30" s="47">
        <f t="shared" si="21"/>
        <v>-211.816</v>
      </c>
    </row>
    <row r="31" spans="1:47" ht="17.25" customHeight="1">
      <c r="A31" s="30">
        <f t="shared" si="0"/>
        <v>45838</v>
      </c>
      <c r="B31" s="31">
        <v>45838</v>
      </c>
      <c r="C31" s="32" t="s">
        <v>153</v>
      </c>
      <c r="D31" s="33">
        <v>0</v>
      </c>
      <c r="E31" s="35">
        <f t="shared" si="9"/>
        <v>2.0833333333333332E-2</v>
      </c>
      <c r="F31" s="34">
        <v>30</v>
      </c>
      <c r="G31" s="33">
        <v>0.17708333333333334</v>
      </c>
      <c r="H31" s="36">
        <f t="shared" si="10"/>
        <v>225</v>
      </c>
      <c r="I31" s="37">
        <f t="shared" si="11"/>
        <v>0.15277777777777776</v>
      </c>
      <c r="J31" s="4">
        <v>5</v>
      </c>
      <c r="K31" s="7"/>
      <c r="L31" s="79">
        <v>1.7361111111111112E-2</v>
      </c>
      <c r="M31" s="50">
        <v>2.9166666666666664E-2</v>
      </c>
      <c r="N31" s="50">
        <v>0.14930555555555555</v>
      </c>
      <c r="O31" s="50">
        <v>0.15</v>
      </c>
      <c r="P31" s="47">
        <v>0.75212999999999997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2"/>
        <v>16.999999999999993</v>
      </c>
      <c r="W31" s="13">
        <f t="shared" si="12"/>
        <v>173</v>
      </c>
      <c r="X31" s="40">
        <f t="shared" si="13"/>
        <v>25</v>
      </c>
      <c r="Y31" s="4">
        <f t="shared" si="13"/>
        <v>11.999999999999996</v>
      </c>
      <c r="Z31" s="4">
        <f t="shared" si="1"/>
        <v>-40.000000000000014</v>
      </c>
      <c r="AA31" s="4">
        <f t="shared" si="2"/>
        <v>-27</v>
      </c>
      <c r="AB31" s="4">
        <f t="shared" si="3"/>
        <v>-39.000000000000021</v>
      </c>
      <c r="AC31" s="13">
        <f t="shared" si="4"/>
        <v>1</v>
      </c>
      <c r="AD31" s="15">
        <f t="shared" si="5"/>
        <v>65.000000000000014</v>
      </c>
      <c r="AG31" s="18">
        <v>0</v>
      </c>
      <c r="AH31" s="19">
        <f t="shared" si="6"/>
        <v>30</v>
      </c>
      <c r="AI31" s="19">
        <f t="shared" si="7"/>
        <v>255</v>
      </c>
      <c r="AJ31" s="20">
        <f t="shared" si="14"/>
        <v>15</v>
      </c>
      <c r="AK31" s="19">
        <f t="shared" si="24"/>
        <v>15</v>
      </c>
      <c r="AL31" s="19">
        <f t="shared" si="16"/>
        <v>42</v>
      </c>
      <c r="AM31" s="19">
        <f t="shared" si="17"/>
        <v>42</v>
      </c>
      <c r="AN31" s="19">
        <f t="shared" si="25"/>
        <v>215</v>
      </c>
      <c r="AO31" s="19">
        <f t="shared" si="18"/>
        <v>157.5</v>
      </c>
      <c r="AP31" s="19">
        <f t="shared" si="19"/>
        <v>216</v>
      </c>
      <c r="AQ31" s="19">
        <f t="shared" si="20"/>
        <v>415</v>
      </c>
      <c r="AR31" s="47">
        <f t="shared" si="21"/>
        <v>-212.39350000000002</v>
      </c>
    </row>
    <row r="32" spans="1:47" ht="17.25" customHeight="1">
      <c r="A32" s="30"/>
      <c r="B32" s="31"/>
      <c r="C32" s="32"/>
      <c r="D32" s="33"/>
      <c r="E32" s="35"/>
      <c r="F32" s="34"/>
      <c r="G32" s="33"/>
      <c r="H32" s="36"/>
      <c r="I32" s="37"/>
      <c r="J32" s="4"/>
      <c r="K32" s="7"/>
      <c r="L32" s="79"/>
      <c r="M32" s="50"/>
      <c r="N32" s="50"/>
      <c r="O32" s="50"/>
      <c r="P32" s="47"/>
      <c r="V32" s="13"/>
      <c r="W32" s="13"/>
      <c r="X32" s="40"/>
      <c r="Y32" s="4"/>
      <c r="Z32" s="4"/>
      <c r="AA32" s="4"/>
      <c r="AB32" s="4"/>
      <c r="AC32" s="13"/>
      <c r="AD32" s="15"/>
      <c r="AG32" s="18"/>
      <c r="AH32" s="19"/>
      <c r="AI32" s="19"/>
      <c r="AJ32" s="20"/>
      <c r="AK32" s="19"/>
      <c r="AL32" s="19"/>
      <c r="AM32" s="19"/>
      <c r="AN32" s="19"/>
      <c r="AO32" s="19"/>
      <c r="AP32" s="19"/>
      <c r="AQ32" s="19"/>
      <c r="AR32" s="47"/>
    </row>
    <row r="33" spans="4:46" ht="17.25" customHeight="1">
      <c r="I33" s="5">
        <f>AVERAGE(I2:I32)</f>
        <v>0.15898148148148153</v>
      </c>
      <c r="L33" s="5">
        <f>AVERAGE(L2:L32)</f>
        <v>1.9513888888888893E-2</v>
      </c>
      <c r="M33" s="5">
        <f>AVERAGE(M2:M32)</f>
        <v>3.4722222222222217E-2</v>
      </c>
      <c r="N33" s="5">
        <f>AVERAGE(N2:N31)</f>
        <v>0.15550925925925929</v>
      </c>
      <c r="O33" s="5">
        <f>AVERAGE(O2:O31)</f>
        <v>0.15733796296296293</v>
      </c>
      <c r="P33" s="48">
        <f>AVERAGE(P2:P32)</f>
        <v>0.73848333333333349</v>
      </c>
      <c r="Q33" s="48"/>
      <c r="R33" s="48"/>
      <c r="S33" s="48"/>
      <c r="T33" s="48"/>
      <c r="V33" s="16">
        <f>AVERAGE(V2:V32)</f>
        <v>21.9</v>
      </c>
      <c r="W33" s="14">
        <f>AVERAGE(W2:W32)</f>
        <v>173.93333333333334</v>
      </c>
      <c r="X33" s="16">
        <f>AVERAGE(X2:X32)</f>
        <v>28.1</v>
      </c>
      <c r="AD33" s="14">
        <f>AVERAGE(AD2:AD32)</f>
        <v>59.166666666666671</v>
      </c>
    </row>
    <row r="34" spans="4:46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6" spans="4:46">
      <c r="D36" s="2"/>
      <c r="AS36">
        <v>255</v>
      </c>
      <c r="AT36">
        <v>240</v>
      </c>
    </row>
    <row r="37" spans="4:46">
      <c r="D37" s="2"/>
      <c r="V37" t="s">
        <v>44</v>
      </c>
      <c r="W37" s="14">
        <f>AVERAGEIF(Q2:Q32,V37,W2:W32)</f>
        <v>173.25</v>
      </c>
    </row>
    <row r="38" spans="4:46">
      <c r="D38" s="2"/>
      <c r="V38" t="s">
        <v>154</v>
      </c>
      <c r="W38" s="14">
        <f>AVERAGEIF(Q2:Q32,V38,W2:W32)</f>
        <v>174.38888888888889</v>
      </c>
    </row>
    <row r="39" spans="4:46">
      <c r="D39" s="2"/>
    </row>
    <row r="40" spans="4:46">
      <c r="D40" s="2"/>
    </row>
    <row r="41" spans="4:46">
      <c r="D41" s="2"/>
    </row>
    <row r="42" spans="4:46">
      <c r="D42" s="2"/>
    </row>
    <row r="43" spans="4:46">
      <c r="D43" s="2"/>
    </row>
    <row r="44" spans="4:46">
      <c r="D44" s="2"/>
    </row>
    <row r="45" spans="4:46">
      <c r="D45" s="2"/>
    </row>
    <row r="46" spans="4:46">
      <c r="D46" s="2"/>
    </row>
    <row r="47" spans="4:46">
      <c r="D47" s="2"/>
    </row>
    <row r="48" spans="4:46">
      <c r="D48" s="2"/>
    </row>
  </sheetData>
  <mergeCells count="1">
    <mergeCell ref="AG34:AQ34"/>
  </mergeCells>
  <conditionalFormatting sqref="Q2:T32 P33:T33">
    <cfRule type="cellIs" dxfId="62" priority="1" operator="lessThanOrEqual">
      <formula>0</formula>
    </cfRule>
  </conditionalFormatting>
  <conditionalFormatting sqref="V2:V32">
    <cfRule type="cellIs" dxfId="61" priority="7" operator="greaterThan">
      <formula>$F$2</formula>
    </cfRule>
    <cfRule type="cellIs" dxfId="60" priority="8" operator="lessThanOrEqual">
      <formula>$F$2</formula>
    </cfRule>
  </conditionalFormatting>
  <conditionalFormatting sqref="V33">
    <cfRule type="cellIs" dxfId="59" priority="2" operator="lessThanOrEqual">
      <formula>0</formula>
    </cfRule>
  </conditionalFormatting>
  <conditionalFormatting sqref="W2:W32">
    <cfRule type="cellIs" dxfId="58" priority="5" operator="greaterThan">
      <formula>$H$2</formula>
    </cfRule>
    <cfRule type="cellIs" dxfId="57" priority="6" operator="lessThanOrEqual">
      <formula>$H$2</formula>
    </cfRule>
  </conditionalFormatting>
  <conditionalFormatting sqref="AC2:AC32">
    <cfRule type="cellIs" dxfId="56" priority="3" operator="greaterThan">
      <formula>5</formula>
    </cfRule>
  </conditionalFormatting>
  <conditionalFormatting sqref="AD2:AD32">
    <cfRule type="cellIs" dxfId="55" priority="4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E940-F25B-4CC1-9EA8-662A803310D0}">
  <dimension ref="A1:BD47"/>
  <sheetViews>
    <sheetView showGridLines="0" topLeftCell="T1" workbookViewId="0">
      <pane ySplit="1" topLeftCell="A18" activePane="bottomLeft" state="frozen"/>
      <selection pane="bottomLeft" activeCell="AE2" sqref="AE2:AE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1" width="10.54296875" customWidth="1"/>
    <col min="12" max="12" width="3.54296875" customWidth="1"/>
    <col min="16" max="16" width="11.26953125" customWidth="1"/>
    <col min="17" max="21" width="11.1796875" customWidth="1"/>
    <col min="22" max="22" width="3.54296875" customWidth="1"/>
    <col min="23" max="25" width="11.1796875" customWidth="1"/>
    <col min="26" max="26" width="13.26953125" customWidth="1"/>
    <col min="27" max="31" width="11.1796875" customWidth="1"/>
    <col min="32" max="33" width="4" customWidth="1"/>
    <col min="38" max="38" width="12" customWidth="1"/>
    <col min="48" max="48" width="9.1796875" customWidth="1"/>
  </cols>
  <sheetData>
    <row r="1" spans="1:56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81" t="s">
        <v>155</v>
      </c>
      <c r="L1" s="6"/>
      <c r="M1" s="12" t="s">
        <v>2</v>
      </c>
      <c r="N1" s="8" t="s">
        <v>5</v>
      </c>
      <c r="O1" s="8" t="s">
        <v>13</v>
      </c>
      <c r="P1" s="8" t="s">
        <v>12</v>
      </c>
      <c r="Q1" s="9" t="s">
        <v>33</v>
      </c>
      <c r="R1" s="9" t="s">
        <v>34</v>
      </c>
      <c r="S1" s="9" t="s">
        <v>35</v>
      </c>
      <c r="T1" s="9" t="s">
        <v>36</v>
      </c>
      <c r="U1" s="9" t="s">
        <v>37</v>
      </c>
      <c r="V1" s="6"/>
      <c r="W1" s="8" t="s">
        <v>14</v>
      </c>
      <c r="X1" s="9" t="s">
        <v>15</v>
      </c>
      <c r="Y1" s="8" t="s">
        <v>17</v>
      </c>
      <c r="Z1" s="8" t="s">
        <v>18</v>
      </c>
      <c r="AA1" s="8" t="s">
        <v>16</v>
      </c>
      <c r="AB1" s="8" t="s">
        <v>21</v>
      </c>
      <c r="AC1" s="8" t="s">
        <v>19</v>
      </c>
      <c r="AD1" s="8" t="s">
        <v>20</v>
      </c>
      <c r="AE1" s="9" t="s">
        <v>28</v>
      </c>
      <c r="AH1" s="42" t="s">
        <v>1</v>
      </c>
      <c r="AI1" s="43" t="s">
        <v>22</v>
      </c>
      <c r="AJ1" s="43" t="s">
        <v>23</v>
      </c>
      <c r="AK1" s="43" t="s">
        <v>2</v>
      </c>
      <c r="AL1" s="43" t="s">
        <v>38</v>
      </c>
      <c r="AM1" s="43" t="s">
        <v>39</v>
      </c>
      <c r="AN1" s="43" t="s">
        <v>24</v>
      </c>
      <c r="AO1" s="43" t="s">
        <v>25</v>
      </c>
      <c r="AP1" s="43" t="s">
        <v>26</v>
      </c>
      <c r="AQ1" s="17" t="s">
        <v>27</v>
      </c>
      <c r="AR1" s="17" t="s">
        <v>29</v>
      </c>
      <c r="AS1" s="9" t="s">
        <v>33</v>
      </c>
      <c r="AT1" t="s">
        <v>34</v>
      </c>
      <c r="AU1" t="s">
        <v>40</v>
      </c>
      <c r="AV1" s="44" t="s">
        <v>41</v>
      </c>
      <c r="AW1" s="44" t="s">
        <v>42</v>
      </c>
    </row>
    <row r="2" spans="1:56">
      <c r="A2" s="30">
        <f t="shared" ref="A2:A31" si="0">B2</f>
        <v>45809</v>
      </c>
      <c r="B2" s="31">
        <v>45809</v>
      </c>
      <c r="C2" s="32" t="s">
        <v>156</v>
      </c>
      <c r="D2" s="33">
        <v>0</v>
      </c>
      <c r="E2" s="35">
        <f>(D2+(TIME(0,F2,0)))</f>
        <v>2.0833333333333332E-2</v>
      </c>
      <c r="F2" s="34">
        <v>30</v>
      </c>
      <c r="G2" s="33">
        <v>0.16666666666666666</v>
      </c>
      <c r="H2" s="36">
        <f>((G2-D2)*1440)-F2</f>
        <v>210</v>
      </c>
      <c r="I2" s="37">
        <f>(O2+(TIME(0,J2,0)))</f>
        <v>0.16111111111111109</v>
      </c>
      <c r="J2" s="4">
        <v>5</v>
      </c>
      <c r="K2" s="82">
        <f>Q2/(X2/60)</f>
        <v>1.4125000000000001</v>
      </c>
      <c r="L2" s="7"/>
      <c r="M2" s="2">
        <v>4.7222222222222221E-2</v>
      </c>
      <c r="N2" s="2">
        <v>5.7638888888888892E-2</v>
      </c>
      <c r="O2" s="83">
        <v>0.15763888888888888</v>
      </c>
      <c r="P2" s="45">
        <v>0.15972222222222221</v>
      </c>
      <c r="Q2" s="47">
        <v>3.39</v>
      </c>
      <c r="R2" t="s">
        <v>44</v>
      </c>
      <c r="S2" t="s">
        <v>45</v>
      </c>
      <c r="T2" t="s">
        <v>45</v>
      </c>
      <c r="U2" t="s">
        <v>45</v>
      </c>
      <c r="V2" s="7"/>
      <c r="W2" s="13">
        <f>((N2-M2)*1440)</f>
        <v>15.000000000000007</v>
      </c>
      <c r="X2" s="13">
        <f>((O2-N2)*1440)</f>
        <v>144</v>
      </c>
      <c r="Y2" s="40">
        <f>((M2-D2)*1440)</f>
        <v>68</v>
      </c>
      <c r="Z2" s="4">
        <f>((N2-E2)*1440)</f>
        <v>53.000000000000014</v>
      </c>
      <c r="AA2" s="4">
        <f t="shared" ref="AA2:AA31" si="1">((O2-G2)*1440)</f>
        <v>-12.999999999999993</v>
      </c>
      <c r="AB2" s="4">
        <f t="shared" ref="AB2:AB31" si="2">X2-(H2-Y2)</f>
        <v>2</v>
      </c>
      <c r="AC2" s="4">
        <f t="shared" ref="AC2:AC31" si="3">((P2-G2)*1440)</f>
        <v>-10.000000000000004</v>
      </c>
      <c r="AD2" s="13">
        <f t="shared" ref="AD2:AD31" si="4">ROUND((P2-O2)*1440,0)</f>
        <v>3</v>
      </c>
      <c r="AE2" s="15">
        <f t="shared" ref="AE2:AE31" si="5">(AA2*-1)+Y2</f>
        <v>81</v>
      </c>
      <c r="AH2" s="18">
        <v>0</v>
      </c>
      <c r="AI2" s="19">
        <f t="shared" ref="AI2:AI31" si="6">AH2+F2</f>
        <v>30</v>
      </c>
      <c r="AJ2" s="19">
        <f t="shared" ref="AJ2:AJ31" si="7">AH2+H2+AI2</f>
        <v>240</v>
      </c>
      <c r="AK2" s="20">
        <f>AH2+Y2-10</f>
        <v>58</v>
      </c>
      <c r="AL2" s="19">
        <f>AK2</f>
        <v>58</v>
      </c>
      <c r="AM2" s="19">
        <f>AN2</f>
        <v>83.000000000000014</v>
      </c>
      <c r="AN2" s="19">
        <f>AI2+Z2</f>
        <v>83.000000000000014</v>
      </c>
      <c r="AO2" s="19">
        <f t="shared" ref="AO2:AO15" si="8">AN2+X2</f>
        <v>227</v>
      </c>
      <c r="AP2" s="19">
        <f>(AO2/2)+50</f>
        <v>163.5</v>
      </c>
      <c r="AQ2" s="19">
        <f>AO2+AD2</f>
        <v>230</v>
      </c>
      <c r="AR2" s="19">
        <f>AE2+350</f>
        <v>431</v>
      </c>
      <c r="AS2" s="47">
        <f>(Q2*50)-250</f>
        <v>-80.5</v>
      </c>
      <c r="AT2">
        <f>IF(R2="Yes",-225,NA())</f>
        <v>-225</v>
      </c>
      <c r="AU2" t="e">
        <f t="shared" ref="AU2:AW17" si="9">IF(S2="Yes",-210,NA())</f>
        <v>#N/A</v>
      </c>
      <c r="AV2" t="e">
        <f t="shared" si="9"/>
        <v>#N/A</v>
      </c>
      <c r="AW2" t="e">
        <f t="shared" si="9"/>
        <v>#N/A</v>
      </c>
      <c r="BB2" s="84"/>
      <c r="BC2" s="14"/>
      <c r="BD2" s="14"/>
    </row>
    <row r="3" spans="1:56">
      <c r="A3" s="30">
        <f t="shared" si="0"/>
        <v>45810</v>
      </c>
      <c r="B3" s="31">
        <v>45810</v>
      </c>
      <c r="C3" s="32" t="s">
        <v>156</v>
      </c>
      <c r="D3" s="33">
        <v>0</v>
      </c>
      <c r="E3" s="35">
        <f t="shared" ref="E3:E31" si="10">(D3+(TIME(0,F3,0)))</f>
        <v>2.0833333333333332E-2</v>
      </c>
      <c r="F3" s="34">
        <v>30</v>
      </c>
      <c r="G3" s="33">
        <v>0.16666666666666666</v>
      </c>
      <c r="H3" s="36">
        <f t="shared" ref="H3:H31" si="11">((G3-D3)*1440)-F3</f>
        <v>210</v>
      </c>
      <c r="I3" s="37">
        <f t="shared" ref="I3:I31" si="12">(O3+(TIME(0,J3,0)))</f>
        <v>0.1534722222222222</v>
      </c>
      <c r="J3" s="4">
        <v>5</v>
      </c>
      <c r="K3" s="82">
        <f t="shared" ref="K3:K31" si="13">Q3/(X3/60)</f>
        <v>1.3959863013698632</v>
      </c>
      <c r="L3" s="7"/>
      <c r="M3" s="2">
        <v>3.5416666666666666E-2</v>
      </c>
      <c r="N3" s="2">
        <v>4.8611111111111112E-2</v>
      </c>
      <c r="O3" s="83">
        <v>0.15</v>
      </c>
      <c r="P3" s="45">
        <v>0.15277777777777779</v>
      </c>
      <c r="Q3" s="47">
        <v>3.3969</v>
      </c>
      <c r="R3" t="s">
        <v>45</v>
      </c>
      <c r="S3" t="s">
        <v>44</v>
      </c>
      <c r="T3" t="s">
        <v>45</v>
      </c>
      <c r="U3" t="s">
        <v>45</v>
      </c>
      <c r="V3" s="7"/>
      <c r="W3" s="13">
        <f t="shared" ref="W3:X31" si="14">((N3-M3)*1440)</f>
        <v>19.000000000000004</v>
      </c>
      <c r="X3" s="13">
        <f t="shared" si="14"/>
        <v>146</v>
      </c>
      <c r="Y3" s="40">
        <f t="shared" ref="Y3:Z31" si="15">((M3-D3)*1440)</f>
        <v>51</v>
      </c>
      <c r="Z3" s="4">
        <f t="shared" si="15"/>
        <v>40</v>
      </c>
      <c r="AA3" s="4">
        <f t="shared" si="1"/>
        <v>-23.999999999999993</v>
      </c>
      <c r="AB3" s="4">
        <f t="shared" si="2"/>
        <v>-13</v>
      </c>
      <c r="AC3" s="4">
        <f t="shared" si="3"/>
        <v>-19.999999999999968</v>
      </c>
      <c r="AD3" s="13">
        <f t="shared" si="4"/>
        <v>4</v>
      </c>
      <c r="AE3" s="15">
        <f t="shared" si="5"/>
        <v>75</v>
      </c>
      <c r="AH3" s="18">
        <v>0</v>
      </c>
      <c r="AI3" s="19">
        <f t="shared" si="6"/>
        <v>30</v>
      </c>
      <c r="AJ3" s="19">
        <f t="shared" si="7"/>
        <v>240</v>
      </c>
      <c r="AK3" s="20">
        <f t="shared" ref="AK3:AK31" si="16">AH3+Y3-10</f>
        <v>41</v>
      </c>
      <c r="AL3" s="19">
        <f t="shared" ref="AL3:AL19" si="17">AK3</f>
        <v>41</v>
      </c>
      <c r="AM3" s="19">
        <f t="shared" ref="AM3:AM31" si="18">AN3</f>
        <v>70</v>
      </c>
      <c r="AN3" s="19">
        <f t="shared" ref="AN3:AN31" si="19">AI3+Z3</f>
        <v>70</v>
      </c>
      <c r="AO3" s="19">
        <f t="shared" si="8"/>
        <v>216</v>
      </c>
      <c r="AP3" s="19">
        <f t="shared" ref="AP3:AP31" si="20">(AO3/2)+50</f>
        <v>158</v>
      </c>
      <c r="AQ3" s="19">
        <f t="shared" ref="AQ3:AQ31" si="21">AO3+AD3</f>
        <v>220</v>
      </c>
      <c r="AR3" s="19">
        <f t="shared" ref="AR3:AR31" si="22">AE3+350</f>
        <v>425</v>
      </c>
      <c r="AS3" s="47">
        <f t="shared" ref="AS3:AS31" si="23">(Q3*50)-250</f>
        <v>-80.155000000000001</v>
      </c>
      <c r="AT3" t="e">
        <f t="shared" ref="AT3:AT5" si="24">IF(R3="Yes",-225,NA())</f>
        <v>#N/A</v>
      </c>
      <c r="AU3">
        <f t="shared" si="9"/>
        <v>-210</v>
      </c>
      <c r="AV3" t="e">
        <f t="shared" si="9"/>
        <v>#N/A</v>
      </c>
      <c r="AW3" t="e">
        <f t="shared" si="9"/>
        <v>#N/A</v>
      </c>
      <c r="BB3" s="84"/>
      <c r="BC3" s="14"/>
      <c r="BD3" s="14"/>
    </row>
    <row r="4" spans="1:56">
      <c r="A4" s="30">
        <f t="shared" si="0"/>
        <v>45811</v>
      </c>
      <c r="B4" s="31">
        <v>45811</v>
      </c>
      <c r="C4" s="32" t="s">
        <v>156</v>
      </c>
      <c r="D4" s="33">
        <v>0</v>
      </c>
      <c r="E4" s="35">
        <f t="shared" si="10"/>
        <v>2.0833333333333332E-2</v>
      </c>
      <c r="F4" s="34">
        <v>30</v>
      </c>
      <c r="G4" s="33">
        <v>0.16666666666666666</v>
      </c>
      <c r="H4" s="36">
        <f t="shared" si="11"/>
        <v>210</v>
      </c>
      <c r="I4" s="37">
        <f t="shared" si="12"/>
        <v>0.14861111111111111</v>
      </c>
      <c r="J4" s="4">
        <v>5</v>
      </c>
      <c r="K4" s="82">
        <f t="shared" si="13"/>
        <v>1.4926323529411762</v>
      </c>
      <c r="L4" s="7"/>
      <c r="M4" s="2">
        <v>3.6111111111111108E-2</v>
      </c>
      <c r="N4" s="2">
        <v>5.0694444444444445E-2</v>
      </c>
      <c r="O4" s="83">
        <v>0.1451388888888889</v>
      </c>
      <c r="P4" s="45">
        <v>0.14722222222222223</v>
      </c>
      <c r="Q4" s="47">
        <v>3.3833000000000002</v>
      </c>
      <c r="R4" t="s">
        <v>45</v>
      </c>
      <c r="S4" t="s">
        <v>45</v>
      </c>
      <c r="T4" t="s">
        <v>45</v>
      </c>
      <c r="U4" t="s">
        <v>45</v>
      </c>
      <c r="V4" s="7"/>
      <c r="W4" s="13">
        <f t="shared" si="14"/>
        <v>21.000000000000007</v>
      </c>
      <c r="X4" s="13">
        <f t="shared" si="14"/>
        <v>136.00000000000003</v>
      </c>
      <c r="Y4" s="40">
        <f t="shared" si="15"/>
        <v>51.999999999999993</v>
      </c>
      <c r="Z4" s="4">
        <f t="shared" si="15"/>
        <v>43</v>
      </c>
      <c r="AA4" s="4">
        <f t="shared" si="1"/>
        <v>-30.999999999999972</v>
      </c>
      <c r="AB4" s="4">
        <f t="shared" si="2"/>
        <v>-21.999999999999972</v>
      </c>
      <c r="AC4" s="4">
        <f t="shared" si="3"/>
        <v>-27.999999999999979</v>
      </c>
      <c r="AD4" s="13">
        <f t="shared" si="4"/>
        <v>3</v>
      </c>
      <c r="AE4" s="15">
        <f t="shared" si="5"/>
        <v>82.999999999999972</v>
      </c>
      <c r="AH4" s="18">
        <v>0</v>
      </c>
      <c r="AI4" s="19">
        <f t="shared" si="6"/>
        <v>30</v>
      </c>
      <c r="AJ4" s="19">
        <f t="shared" si="7"/>
        <v>240</v>
      </c>
      <c r="AK4" s="20">
        <f t="shared" si="16"/>
        <v>41.999999999999993</v>
      </c>
      <c r="AL4" s="19">
        <f t="shared" si="17"/>
        <v>41.999999999999993</v>
      </c>
      <c r="AM4" s="19">
        <f t="shared" si="18"/>
        <v>73</v>
      </c>
      <c r="AN4" s="19">
        <f t="shared" si="19"/>
        <v>73</v>
      </c>
      <c r="AO4" s="19">
        <f t="shared" si="8"/>
        <v>209.00000000000003</v>
      </c>
      <c r="AP4" s="19">
        <f t="shared" si="20"/>
        <v>154.5</v>
      </c>
      <c r="AQ4" s="19">
        <f t="shared" si="21"/>
        <v>212.00000000000003</v>
      </c>
      <c r="AR4" s="19">
        <f t="shared" si="22"/>
        <v>433</v>
      </c>
      <c r="AS4" s="47">
        <f t="shared" si="23"/>
        <v>-80.83499999999998</v>
      </c>
      <c r="AT4" t="e">
        <f t="shared" si="24"/>
        <v>#N/A</v>
      </c>
      <c r="AU4" t="e">
        <f>IF(S4="Yes",-210,NA())</f>
        <v>#N/A</v>
      </c>
      <c r="AV4" t="e">
        <f t="shared" si="9"/>
        <v>#N/A</v>
      </c>
      <c r="AW4" t="e">
        <f t="shared" si="9"/>
        <v>#N/A</v>
      </c>
      <c r="BB4" s="84"/>
      <c r="BC4" s="14"/>
      <c r="BD4" s="14"/>
    </row>
    <row r="5" spans="1:56">
      <c r="A5" s="30">
        <f t="shared" si="0"/>
        <v>45812</v>
      </c>
      <c r="B5" s="31">
        <v>45812</v>
      </c>
      <c r="C5" s="32" t="s">
        <v>156</v>
      </c>
      <c r="D5" s="33">
        <v>0</v>
      </c>
      <c r="E5" s="35">
        <f t="shared" si="10"/>
        <v>2.0833333333333332E-2</v>
      </c>
      <c r="F5" s="34">
        <v>30</v>
      </c>
      <c r="G5" s="33">
        <v>0.16666666666666666</v>
      </c>
      <c r="H5" s="36">
        <f t="shared" si="11"/>
        <v>210</v>
      </c>
      <c r="I5" s="37">
        <f t="shared" si="12"/>
        <v>0.16111111111111109</v>
      </c>
      <c r="J5" s="4">
        <v>5</v>
      </c>
      <c r="K5" s="82">
        <f t="shared" si="13"/>
        <v>1.3913835616438357</v>
      </c>
      <c r="L5" s="7"/>
      <c r="M5" s="2">
        <v>3.888888888888889E-2</v>
      </c>
      <c r="N5" s="2">
        <v>5.6250000000000001E-2</v>
      </c>
      <c r="O5" s="83">
        <v>0.15763888888888888</v>
      </c>
      <c r="P5" s="45">
        <v>0.15972222222222221</v>
      </c>
      <c r="Q5" s="47">
        <v>3.3856999999999999</v>
      </c>
      <c r="R5" t="s">
        <v>44</v>
      </c>
      <c r="S5" t="s">
        <v>45</v>
      </c>
      <c r="T5" t="s">
        <v>45</v>
      </c>
      <c r="U5" t="s">
        <v>45</v>
      </c>
      <c r="V5" s="7"/>
      <c r="W5" s="13">
        <f t="shared" si="14"/>
        <v>25</v>
      </c>
      <c r="X5" s="13">
        <f t="shared" si="14"/>
        <v>146</v>
      </c>
      <c r="Y5" s="40">
        <f t="shared" si="15"/>
        <v>56</v>
      </c>
      <c r="Z5" s="4">
        <f t="shared" si="15"/>
        <v>51</v>
      </c>
      <c r="AA5" s="4">
        <f t="shared" si="1"/>
        <v>-12.999999999999993</v>
      </c>
      <c r="AB5" s="4">
        <f t="shared" si="2"/>
        <v>-8</v>
      </c>
      <c r="AC5" s="4">
        <f t="shared" si="3"/>
        <v>-10.000000000000004</v>
      </c>
      <c r="AD5" s="13">
        <f t="shared" si="4"/>
        <v>3</v>
      </c>
      <c r="AE5" s="15">
        <f t="shared" si="5"/>
        <v>69</v>
      </c>
      <c r="AH5" s="18">
        <v>0</v>
      </c>
      <c r="AI5" s="19">
        <f t="shared" si="6"/>
        <v>30</v>
      </c>
      <c r="AJ5" s="19">
        <f t="shared" si="7"/>
        <v>240</v>
      </c>
      <c r="AK5" s="20">
        <f t="shared" si="16"/>
        <v>46</v>
      </c>
      <c r="AL5" s="19">
        <f t="shared" si="17"/>
        <v>46</v>
      </c>
      <c r="AM5" s="19">
        <f t="shared" si="18"/>
        <v>81</v>
      </c>
      <c r="AN5" s="19">
        <f t="shared" si="19"/>
        <v>81</v>
      </c>
      <c r="AO5" s="19">
        <f t="shared" si="8"/>
        <v>227</v>
      </c>
      <c r="AP5" s="19">
        <f t="shared" si="20"/>
        <v>163.5</v>
      </c>
      <c r="AQ5" s="19">
        <f t="shared" si="21"/>
        <v>230</v>
      </c>
      <c r="AR5" s="19">
        <f t="shared" si="22"/>
        <v>419</v>
      </c>
      <c r="AS5" s="47">
        <f t="shared" si="23"/>
        <v>-80.715000000000003</v>
      </c>
      <c r="AT5">
        <f t="shared" si="24"/>
        <v>-225</v>
      </c>
      <c r="AU5" t="e">
        <f t="shared" ref="AU5:AW31" si="25">IF(S5="Yes",-210,NA())</f>
        <v>#N/A</v>
      </c>
      <c r="AV5" t="e">
        <f t="shared" si="9"/>
        <v>#N/A</v>
      </c>
      <c r="AW5" t="e">
        <f t="shared" si="9"/>
        <v>#N/A</v>
      </c>
      <c r="BB5" s="84"/>
      <c r="BC5" s="14"/>
      <c r="BD5" s="14"/>
    </row>
    <row r="6" spans="1:56">
      <c r="A6" s="30">
        <f t="shared" si="0"/>
        <v>45813</v>
      </c>
      <c r="B6" s="31">
        <v>45813</v>
      </c>
      <c r="C6" s="32" t="s">
        <v>156</v>
      </c>
      <c r="D6" s="33">
        <v>0</v>
      </c>
      <c r="E6" s="35">
        <f t="shared" si="10"/>
        <v>2.0833333333333332E-2</v>
      </c>
      <c r="F6" s="34">
        <v>30</v>
      </c>
      <c r="G6" s="33">
        <v>0.16666666666666666</v>
      </c>
      <c r="H6" s="36">
        <f t="shared" si="11"/>
        <v>210</v>
      </c>
      <c r="I6" s="37">
        <f t="shared" si="12"/>
        <v>0.16597222222222222</v>
      </c>
      <c r="J6" s="4">
        <v>5</v>
      </c>
      <c r="K6" s="82">
        <f t="shared" si="13"/>
        <v>1.35768</v>
      </c>
      <c r="L6" s="7"/>
      <c r="M6" s="2">
        <v>3.2638888888888891E-2</v>
      </c>
      <c r="N6" s="2">
        <v>5.8333333333333334E-2</v>
      </c>
      <c r="O6" s="83">
        <v>0.16250000000000001</v>
      </c>
      <c r="P6" s="45">
        <v>0.16458333333333333</v>
      </c>
      <c r="Q6" s="47">
        <v>3.3942000000000001</v>
      </c>
      <c r="R6" t="s">
        <v>45</v>
      </c>
      <c r="S6" t="s">
        <v>44</v>
      </c>
      <c r="T6" t="s">
        <v>45</v>
      </c>
      <c r="U6" t="s">
        <v>45</v>
      </c>
      <c r="V6" s="7"/>
      <c r="W6" s="13">
        <f t="shared" si="14"/>
        <v>37</v>
      </c>
      <c r="X6" s="13">
        <f t="shared" si="14"/>
        <v>150</v>
      </c>
      <c r="Y6" s="40">
        <f t="shared" si="15"/>
        <v>47</v>
      </c>
      <c r="Z6" s="4">
        <f t="shared" si="15"/>
        <v>54.000000000000007</v>
      </c>
      <c r="AA6" s="4">
        <f t="shared" si="1"/>
        <v>-5.9999999999999787</v>
      </c>
      <c r="AB6" s="4">
        <f t="shared" si="2"/>
        <v>-13</v>
      </c>
      <c r="AC6" s="4">
        <f t="shared" si="3"/>
        <v>-2.9999999999999893</v>
      </c>
      <c r="AD6" s="13">
        <f t="shared" si="4"/>
        <v>3</v>
      </c>
      <c r="AE6" s="15">
        <f t="shared" si="5"/>
        <v>52.999999999999979</v>
      </c>
      <c r="AH6" s="18">
        <v>0</v>
      </c>
      <c r="AI6" s="19">
        <f t="shared" si="6"/>
        <v>30</v>
      </c>
      <c r="AJ6" s="19">
        <f t="shared" si="7"/>
        <v>240</v>
      </c>
      <c r="AK6" s="20">
        <f t="shared" si="16"/>
        <v>37</v>
      </c>
      <c r="AL6" s="19">
        <f t="shared" si="17"/>
        <v>37</v>
      </c>
      <c r="AM6" s="19">
        <f t="shared" si="18"/>
        <v>84</v>
      </c>
      <c r="AN6" s="19">
        <f t="shared" si="19"/>
        <v>84</v>
      </c>
      <c r="AO6" s="19">
        <f t="shared" si="8"/>
        <v>234</v>
      </c>
      <c r="AP6" s="19">
        <f t="shared" si="20"/>
        <v>167</v>
      </c>
      <c r="AQ6" s="19">
        <f t="shared" si="21"/>
        <v>237</v>
      </c>
      <c r="AR6" s="19">
        <f t="shared" si="22"/>
        <v>403</v>
      </c>
      <c r="AS6" s="47">
        <f t="shared" si="23"/>
        <v>-80.289999999999992</v>
      </c>
      <c r="AT6" t="e">
        <f>IF(R6="Yes",-225,NA())</f>
        <v>#N/A</v>
      </c>
      <c r="AU6">
        <f t="shared" si="25"/>
        <v>-210</v>
      </c>
      <c r="AV6" t="e">
        <f t="shared" si="9"/>
        <v>#N/A</v>
      </c>
      <c r="AW6" t="e">
        <f t="shared" si="9"/>
        <v>#N/A</v>
      </c>
      <c r="BB6" s="84"/>
      <c r="BC6" s="14"/>
      <c r="BD6" s="14"/>
    </row>
    <row r="7" spans="1:56">
      <c r="A7" s="30">
        <f t="shared" si="0"/>
        <v>45814</v>
      </c>
      <c r="B7" s="31">
        <v>45814</v>
      </c>
      <c r="C7" s="32" t="s">
        <v>156</v>
      </c>
      <c r="D7" s="33">
        <v>0</v>
      </c>
      <c r="E7" s="35">
        <f t="shared" si="10"/>
        <v>2.0833333333333332E-2</v>
      </c>
      <c r="F7" s="34">
        <v>30</v>
      </c>
      <c r="G7" s="33">
        <v>0.16666666666666666</v>
      </c>
      <c r="H7" s="36">
        <f t="shared" si="11"/>
        <v>210</v>
      </c>
      <c r="I7" s="37">
        <f t="shared" si="12"/>
        <v>0.15208333333333332</v>
      </c>
      <c r="J7" s="4">
        <v>5</v>
      </c>
      <c r="K7" s="82">
        <f t="shared" si="13"/>
        <v>1.3736778523489934</v>
      </c>
      <c r="L7" s="7"/>
      <c r="M7" s="2">
        <v>3.5416666666666666E-2</v>
      </c>
      <c r="N7" s="2">
        <v>4.5138888888888888E-2</v>
      </c>
      <c r="O7" s="83">
        <v>0.14861111111111111</v>
      </c>
      <c r="P7" s="45">
        <v>0.15069444444444444</v>
      </c>
      <c r="Q7" s="47">
        <v>3.4113000000000002</v>
      </c>
      <c r="R7" t="s">
        <v>45</v>
      </c>
      <c r="S7" t="s">
        <v>45</v>
      </c>
      <c r="T7" t="s">
        <v>45</v>
      </c>
      <c r="U7" t="s">
        <v>45</v>
      </c>
      <c r="V7" s="7"/>
      <c r="W7" s="13">
        <f t="shared" si="14"/>
        <v>14</v>
      </c>
      <c r="X7" s="13">
        <f t="shared" si="14"/>
        <v>149</v>
      </c>
      <c r="Y7" s="40">
        <f t="shared" si="15"/>
        <v>51</v>
      </c>
      <c r="Z7" s="4">
        <f t="shared" si="15"/>
        <v>35</v>
      </c>
      <c r="AA7" s="4">
        <f t="shared" si="1"/>
        <v>-25.999999999999986</v>
      </c>
      <c r="AB7" s="4">
        <f t="shared" si="2"/>
        <v>-10</v>
      </c>
      <c r="AC7" s="4">
        <f t="shared" si="3"/>
        <v>-23</v>
      </c>
      <c r="AD7" s="13">
        <f t="shared" si="4"/>
        <v>3</v>
      </c>
      <c r="AE7" s="15">
        <f t="shared" si="5"/>
        <v>76.999999999999986</v>
      </c>
      <c r="AH7" s="18">
        <v>0</v>
      </c>
      <c r="AI7" s="19">
        <f t="shared" si="6"/>
        <v>30</v>
      </c>
      <c r="AJ7" s="19">
        <f t="shared" si="7"/>
        <v>240</v>
      </c>
      <c r="AK7" s="20">
        <f t="shared" si="16"/>
        <v>41</v>
      </c>
      <c r="AL7" s="19">
        <f t="shared" si="17"/>
        <v>41</v>
      </c>
      <c r="AM7" s="19">
        <f t="shared" si="18"/>
        <v>65</v>
      </c>
      <c r="AN7" s="19">
        <f t="shared" si="19"/>
        <v>65</v>
      </c>
      <c r="AO7" s="19">
        <f t="shared" si="8"/>
        <v>214</v>
      </c>
      <c r="AP7" s="19">
        <f t="shared" si="20"/>
        <v>157</v>
      </c>
      <c r="AQ7" s="19">
        <f t="shared" si="21"/>
        <v>217</v>
      </c>
      <c r="AR7" s="19">
        <f t="shared" si="22"/>
        <v>427</v>
      </c>
      <c r="AS7" s="47">
        <f t="shared" si="23"/>
        <v>-79.435000000000002</v>
      </c>
      <c r="AT7" t="e">
        <f t="shared" ref="AT7:AT17" si="26">IF(R7="Yes",-225,NA())</f>
        <v>#N/A</v>
      </c>
      <c r="AU7" t="e">
        <f t="shared" si="25"/>
        <v>#N/A</v>
      </c>
      <c r="AV7" t="e">
        <f t="shared" si="9"/>
        <v>#N/A</v>
      </c>
      <c r="AW7" t="e">
        <f t="shared" si="9"/>
        <v>#N/A</v>
      </c>
      <c r="BB7" s="84"/>
      <c r="BC7" s="14"/>
      <c r="BD7" s="14"/>
    </row>
    <row r="8" spans="1:56">
      <c r="A8" s="30">
        <f t="shared" si="0"/>
        <v>45815</v>
      </c>
      <c r="B8" s="31">
        <v>45815</v>
      </c>
      <c r="C8" s="32" t="s">
        <v>156</v>
      </c>
      <c r="D8" s="33">
        <v>0</v>
      </c>
      <c r="E8" s="35">
        <f t="shared" si="10"/>
        <v>2.0833333333333332E-2</v>
      </c>
      <c r="F8" s="34">
        <v>30</v>
      </c>
      <c r="G8" s="33">
        <v>0.16666666666666666</v>
      </c>
      <c r="H8" s="36">
        <f t="shared" si="11"/>
        <v>210</v>
      </c>
      <c r="I8" s="37">
        <f t="shared" si="12"/>
        <v>0.16597222222222222</v>
      </c>
      <c r="J8" s="4">
        <v>5</v>
      </c>
      <c r="K8" s="82">
        <f t="shared" si="13"/>
        <v>1.2160828402366863</v>
      </c>
      <c r="L8" s="7"/>
      <c r="M8" s="2">
        <v>3.4027777777777775E-2</v>
      </c>
      <c r="N8" s="2">
        <v>4.5138888888888888E-2</v>
      </c>
      <c r="O8" s="83">
        <v>0.16250000000000001</v>
      </c>
      <c r="P8" s="45">
        <v>0.16458333333333333</v>
      </c>
      <c r="Q8" s="47">
        <v>3.4253</v>
      </c>
      <c r="R8" t="s">
        <v>44</v>
      </c>
      <c r="S8" t="s">
        <v>45</v>
      </c>
      <c r="T8" t="s">
        <v>45</v>
      </c>
      <c r="U8" t="s">
        <v>45</v>
      </c>
      <c r="V8" s="7"/>
      <c r="W8" s="13">
        <f t="shared" si="14"/>
        <v>16.000000000000004</v>
      </c>
      <c r="X8" s="13">
        <f t="shared" si="14"/>
        <v>169</v>
      </c>
      <c r="Y8" s="40">
        <f t="shared" si="15"/>
        <v>48.999999999999993</v>
      </c>
      <c r="Z8" s="4">
        <f t="shared" si="15"/>
        <v>35</v>
      </c>
      <c r="AA8" s="4">
        <f t="shared" si="1"/>
        <v>-5.9999999999999787</v>
      </c>
      <c r="AB8" s="4">
        <f t="shared" si="2"/>
        <v>8</v>
      </c>
      <c r="AC8" s="4">
        <f t="shared" si="3"/>
        <v>-2.9999999999999893</v>
      </c>
      <c r="AD8" s="13">
        <f t="shared" si="4"/>
        <v>3</v>
      </c>
      <c r="AE8" s="15">
        <f t="shared" si="5"/>
        <v>54.999999999999972</v>
      </c>
      <c r="AH8" s="18">
        <v>0</v>
      </c>
      <c r="AI8" s="19">
        <f t="shared" si="6"/>
        <v>30</v>
      </c>
      <c r="AJ8" s="19">
        <f t="shared" si="7"/>
        <v>240</v>
      </c>
      <c r="AK8" s="20">
        <f t="shared" si="16"/>
        <v>38.999999999999993</v>
      </c>
      <c r="AL8" s="19">
        <f t="shared" si="17"/>
        <v>38.999999999999993</v>
      </c>
      <c r="AM8" s="19">
        <f t="shared" si="18"/>
        <v>65</v>
      </c>
      <c r="AN8" s="19">
        <f t="shared" si="19"/>
        <v>65</v>
      </c>
      <c r="AO8" s="19">
        <f t="shared" si="8"/>
        <v>234</v>
      </c>
      <c r="AP8" s="19">
        <f t="shared" si="20"/>
        <v>167</v>
      </c>
      <c r="AQ8" s="19">
        <f t="shared" si="21"/>
        <v>237</v>
      </c>
      <c r="AR8" s="19">
        <f t="shared" si="22"/>
        <v>405</v>
      </c>
      <c r="AS8" s="47">
        <f t="shared" si="23"/>
        <v>-78.735000000000014</v>
      </c>
      <c r="AT8">
        <f t="shared" si="26"/>
        <v>-225</v>
      </c>
      <c r="AU8" t="e">
        <f t="shared" si="25"/>
        <v>#N/A</v>
      </c>
      <c r="AV8" t="e">
        <f t="shared" si="9"/>
        <v>#N/A</v>
      </c>
      <c r="AW8" t="e">
        <f t="shared" si="9"/>
        <v>#N/A</v>
      </c>
      <c r="BB8" s="84"/>
      <c r="BC8" s="14"/>
      <c r="BD8" s="14"/>
    </row>
    <row r="9" spans="1:56">
      <c r="A9" s="30">
        <f t="shared" si="0"/>
        <v>45816</v>
      </c>
      <c r="B9" s="31">
        <v>45816</v>
      </c>
      <c r="C9" s="32" t="s">
        <v>156</v>
      </c>
      <c r="D9" s="33">
        <v>0</v>
      </c>
      <c r="E9" s="35">
        <f t="shared" si="10"/>
        <v>2.0833333333333332E-2</v>
      </c>
      <c r="F9" s="34">
        <v>30</v>
      </c>
      <c r="G9" s="33">
        <v>0.16666666666666666</v>
      </c>
      <c r="H9" s="36">
        <f t="shared" si="11"/>
        <v>210</v>
      </c>
      <c r="I9" s="37">
        <f t="shared" si="12"/>
        <v>0.17638888888888887</v>
      </c>
      <c r="J9" s="4">
        <v>5</v>
      </c>
      <c r="K9" s="82">
        <f t="shared" si="13"/>
        <v>1.1703103448275864</v>
      </c>
      <c r="L9" s="7"/>
      <c r="M9" s="2">
        <v>4.3055555555555555E-2</v>
      </c>
      <c r="N9" s="2">
        <v>5.2083333333333336E-2</v>
      </c>
      <c r="O9" s="83">
        <v>0.17291666666666666</v>
      </c>
      <c r="P9" s="45">
        <v>0.17499999999999999</v>
      </c>
      <c r="Q9" s="47">
        <v>3.3938999999999999</v>
      </c>
      <c r="R9" t="s">
        <v>44</v>
      </c>
      <c r="S9" t="s">
        <v>45</v>
      </c>
      <c r="T9" t="s">
        <v>45</v>
      </c>
      <c r="U9" t="s">
        <v>45</v>
      </c>
      <c r="V9" s="7"/>
      <c r="W9" s="13">
        <f t="shared" si="14"/>
        <v>13.000000000000004</v>
      </c>
      <c r="X9" s="13">
        <f t="shared" si="14"/>
        <v>173.99999999999997</v>
      </c>
      <c r="Y9" s="40">
        <f t="shared" si="15"/>
        <v>62</v>
      </c>
      <c r="Z9" s="4">
        <f t="shared" si="15"/>
        <v>45</v>
      </c>
      <c r="AA9" s="4">
        <f t="shared" si="1"/>
        <v>9.0000000000000071</v>
      </c>
      <c r="AB9" s="4">
        <f t="shared" si="2"/>
        <v>25.999999999999972</v>
      </c>
      <c r="AC9" s="4">
        <f t="shared" si="3"/>
        <v>11.999999999999996</v>
      </c>
      <c r="AD9" s="13">
        <f t="shared" si="4"/>
        <v>3</v>
      </c>
      <c r="AE9" s="15">
        <f t="shared" si="5"/>
        <v>52.999999999999993</v>
      </c>
      <c r="AH9" s="18">
        <v>0</v>
      </c>
      <c r="AI9" s="19">
        <f t="shared" si="6"/>
        <v>30</v>
      </c>
      <c r="AJ9" s="19">
        <f t="shared" si="7"/>
        <v>240</v>
      </c>
      <c r="AK9" s="20">
        <f t="shared" si="16"/>
        <v>52</v>
      </c>
      <c r="AL9" s="19">
        <f t="shared" si="17"/>
        <v>52</v>
      </c>
      <c r="AM9" s="19">
        <f t="shared" si="18"/>
        <v>75</v>
      </c>
      <c r="AN9" s="19">
        <f t="shared" si="19"/>
        <v>75</v>
      </c>
      <c r="AO9" s="19">
        <f t="shared" si="8"/>
        <v>248.99999999999997</v>
      </c>
      <c r="AP9" s="19">
        <f t="shared" si="20"/>
        <v>174.5</v>
      </c>
      <c r="AQ9" s="19">
        <f t="shared" si="21"/>
        <v>251.99999999999997</v>
      </c>
      <c r="AR9" s="19">
        <f t="shared" si="22"/>
        <v>403</v>
      </c>
      <c r="AS9" s="47">
        <f t="shared" si="23"/>
        <v>-80.305000000000007</v>
      </c>
      <c r="AT9">
        <f t="shared" si="26"/>
        <v>-225</v>
      </c>
      <c r="AU9" t="e">
        <f t="shared" si="25"/>
        <v>#N/A</v>
      </c>
      <c r="AV9" t="e">
        <f t="shared" si="9"/>
        <v>#N/A</v>
      </c>
      <c r="AW9" t="e">
        <f t="shared" si="9"/>
        <v>#N/A</v>
      </c>
      <c r="BB9" s="84"/>
      <c r="BC9" s="14"/>
      <c r="BD9" s="14"/>
    </row>
    <row r="10" spans="1:56">
      <c r="A10" s="30">
        <f t="shared" si="0"/>
        <v>45817</v>
      </c>
      <c r="B10" s="31">
        <v>45817</v>
      </c>
      <c r="C10" s="32" t="s">
        <v>156</v>
      </c>
      <c r="D10" s="33">
        <v>0</v>
      </c>
      <c r="E10" s="35">
        <f t="shared" si="10"/>
        <v>2.0833333333333332E-2</v>
      </c>
      <c r="F10" s="34">
        <v>30</v>
      </c>
      <c r="G10" s="33">
        <v>0.16666666666666666</v>
      </c>
      <c r="H10" s="36">
        <f t="shared" si="11"/>
        <v>210</v>
      </c>
      <c r="I10" s="37">
        <f t="shared" si="12"/>
        <v>0.16805555555555554</v>
      </c>
      <c r="J10" s="4">
        <v>5</v>
      </c>
      <c r="K10" s="82">
        <f t="shared" si="13"/>
        <v>1.28211320754717</v>
      </c>
      <c r="L10" s="7"/>
      <c r="M10" s="2">
        <v>4.4444444444444446E-2</v>
      </c>
      <c r="N10" s="2">
        <v>5.4166666666666669E-2</v>
      </c>
      <c r="O10" s="83">
        <v>0.16458333333333333</v>
      </c>
      <c r="P10" s="45">
        <v>0.16666666666666666</v>
      </c>
      <c r="Q10" s="47">
        <v>3.3976000000000002</v>
      </c>
      <c r="R10" t="s">
        <v>44</v>
      </c>
      <c r="S10" t="s">
        <v>44</v>
      </c>
      <c r="T10" t="s">
        <v>45</v>
      </c>
      <c r="U10" t="s">
        <v>45</v>
      </c>
      <c r="V10" s="7"/>
      <c r="W10" s="13">
        <f t="shared" si="14"/>
        <v>14</v>
      </c>
      <c r="X10" s="13">
        <f t="shared" si="14"/>
        <v>159</v>
      </c>
      <c r="Y10" s="40">
        <f t="shared" si="15"/>
        <v>64</v>
      </c>
      <c r="Z10" s="4">
        <f t="shared" si="15"/>
        <v>48.000000000000007</v>
      </c>
      <c r="AA10" s="4">
        <f t="shared" si="1"/>
        <v>-2.9999999999999893</v>
      </c>
      <c r="AB10" s="4">
        <f t="shared" si="2"/>
        <v>13</v>
      </c>
      <c r="AC10" s="4">
        <f t="shared" si="3"/>
        <v>0</v>
      </c>
      <c r="AD10" s="13">
        <f t="shared" si="4"/>
        <v>3</v>
      </c>
      <c r="AE10" s="15">
        <f t="shared" si="5"/>
        <v>66.999999999999986</v>
      </c>
      <c r="AH10" s="18">
        <v>0</v>
      </c>
      <c r="AI10" s="19">
        <f t="shared" si="6"/>
        <v>30</v>
      </c>
      <c r="AJ10" s="19">
        <f t="shared" si="7"/>
        <v>240</v>
      </c>
      <c r="AK10" s="20">
        <f t="shared" si="16"/>
        <v>54</v>
      </c>
      <c r="AL10" s="19">
        <f t="shared" si="17"/>
        <v>54</v>
      </c>
      <c r="AM10" s="19">
        <f t="shared" si="18"/>
        <v>78</v>
      </c>
      <c r="AN10" s="19">
        <f t="shared" si="19"/>
        <v>78</v>
      </c>
      <c r="AO10" s="19">
        <f t="shared" si="8"/>
        <v>237</v>
      </c>
      <c r="AP10" s="19">
        <f t="shared" si="20"/>
        <v>168.5</v>
      </c>
      <c r="AQ10" s="19">
        <f t="shared" si="21"/>
        <v>240</v>
      </c>
      <c r="AR10" s="19">
        <f t="shared" si="22"/>
        <v>417</v>
      </c>
      <c r="AS10" s="47">
        <f t="shared" si="23"/>
        <v>-80.12</v>
      </c>
      <c r="AT10">
        <f t="shared" si="26"/>
        <v>-225</v>
      </c>
      <c r="AU10">
        <f t="shared" si="25"/>
        <v>-210</v>
      </c>
      <c r="AV10" t="e">
        <f t="shared" si="9"/>
        <v>#N/A</v>
      </c>
      <c r="AW10" t="e">
        <f t="shared" si="9"/>
        <v>#N/A</v>
      </c>
      <c r="BB10" s="84"/>
      <c r="BC10" s="14"/>
      <c r="BD10" s="14"/>
    </row>
    <row r="11" spans="1:56">
      <c r="A11" s="30">
        <f t="shared" si="0"/>
        <v>45818</v>
      </c>
      <c r="B11" s="31">
        <v>45818</v>
      </c>
      <c r="C11" s="32" t="s">
        <v>156</v>
      </c>
      <c r="D11" s="33">
        <v>0</v>
      </c>
      <c r="E11" s="35">
        <f t="shared" si="10"/>
        <v>2.0833333333333332E-2</v>
      </c>
      <c r="F11" s="34">
        <v>30</v>
      </c>
      <c r="G11" s="33">
        <v>0.16666666666666666</v>
      </c>
      <c r="H11" s="36">
        <f t="shared" si="11"/>
        <v>210</v>
      </c>
      <c r="I11" s="37">
        <f t="shared" si="12"/>
        <v>0.15</v>
      </c>
      <c r="J11" s="4">
        <v>5</v>
      </c>
      <c r="K11" s="82">
        <f t="shared" si="13"/>
        <v>1.4230069930069931</v>
      </c>
      <c r="L11" s="7"/>
      <c r="M11" s="2">
        <v>3.7499999999999999E-2</v>
      </c>
      <c r="N11" s="2">
        <v>4.7222222222222221E-2</v>
      </c>
      <c r="O11" s="83">
        <v>0.14652777777777778</v>
      </c>
      <c r="P11" s="45">
        <v>0.14930555555555555</v>
      </c>
      <c r="Q11" s="47">
        <v>3.3915000000000002</v>
      </c>
      <c r="R11" t="s">
        <v>45</v>
      </c>
      <c r="S11" t="s">
        <v>45</v>
      </c>
      <c r="T11" t="s">
        <v>45</v>
      </c>
      <c r="U11" t="s">
        <v>45</v>
      </c>
      <c r="V11" s="7"/>
      <c r="W11" s="13">
        <f t="shared" si="14"/>
        <v>14</v>
      </c>
      <c r="X11" s="13">
        <f t="shared" si="14"/>
        <v>143</v>
      </c>
      <c r="Y11" s="40">
        <f t="shared" si="15"/>
        <v>54</v>
      </c>
      <c r="Z11" s="4">
        <f t="shared" si="15"/>
        <v>38</v>
      </c>
      <c r="AA11" s="4">
        <f t="shared" si="1"/>
        <v>-28.999999999999979</v>
      </c>
      <c r="AB11" s="4">
        <f t="shared" si="2"/>
        <v>-13</v>
      </c>
      <c r="AC11" s="4">
        <f t="shared" si="3"/>
        <v>-24.999999999999993</v>
      </c>
      <c r="AD11" s="13">
        <f t="shared" si="4"/>
        <v>4</v>
      </c>
      <c r="AE11" s="15">
        <f t="shared" si="5"/>
        <v>82.999999999999972</v>
      </c>
      <c r="AH11" s="18">
        <v>0</v>
      </c>
      <c r="AI11" s="19">
        <f t="shared" si="6"/>
        <v>30</v>
      </c>
      <c r="AJ11" s="19">
        <f t="shared" si="7"/>
        <v>240</v>
      </c>
      <c r="AK11" s="20">
        <f t="shared" si="16"/>
        <v>44</v>
      </c>
      <c r="AL11" s="19">
        <f t="shared" si="17"/>
        <v>44</v>
      </c>
      <c r="AM11" s="19">
        <f t="shared" si="18"/>
        <v>68</v>
      </c>
      <c r="AN11" s="19">
        <f t="shared" si="19"/>
        <v>68</v>
      </c>
      <c r="AO11" s="19">
        <f t="shared" si="8"/>
        <v>211</v>
      </c>
      <c r="AP11" s="19">
        <f t="shared" si="20"/>
        <v>155.5</v>
      </c>
      <c r="AQ11" s="19">
        <f t="shared" si="21"/>
        <v>215</v>
      </c>
      <c r="AR11" s="19">
        <f t="shared" si="22"/>
        <v>433</v>
      </c>
      <c r="AS11" s="47">
        <f t="shared" si="23"/>
        <v>-80.424999999999983</v>
      </c>
      <c r="AT11" t="e">
        <f t="shared" si="26"/>
        <v>#N/A</v>
      </c>
      <c r="AU11" t="e">
        <f t="shared" si="25"/>
        <v>#N/A</v>
      </c>
      <c r="AV11" t="e">
        <f t="shared" si="9"/>
        <v>#N/A</v>
      </c>
      <c r="AW11" t="e">
        <f t="shared" si="9"/>
        <v>#N/A</v>
      </c>
      <c r="BB11" s="84"/>
      <c r="BC11" s="14"/>
      <c r="BD11" s="14"/>
    </row>
    <row r="12" spans="1:56">
      <c r="A12" s="30">
        <f t="shared" si="0"/>
        <v>45819</v>
      </c>
      <c r="B12" s="31">
        <v>45819</v>
      </c>
      <c r="C12" s="32" t="s">
        <v>156</v>
      </c>
      <c r="D12" s="33">
        <v>0</v>
      </c>
      <c r="E12" s="35">
        <f t="shared" si="10"/>
        <v>2.0833333333333332E-2</v>
      </c>
      <c r="F12" s="34">
        <v>30</v>
      </c>
      <c r="G12" s="33">
        <v>0.16666666666666666</v>
      </c>
      <c r="H12" s="36">
        <f t="shared" si="11"/>
        <v>210</v>
      </c>
      <c r="I12" s="37">
        <f t="shared" si="12"/>
        <v>0.15833333333333333</v>
      </c>
      <c r="J12" s="4">
        <v>5</v>
      </c>
      <c r="K12" s="82">
        <f t="shared" si="13"/>
        <v>1.2322181818181817</v>
      </c>
      <c r="L12" s="7"/>
      <c r="M12" s="2">
        <v>3.0555555555555555E-2</v>
      </c>
      <c r="N12" s="2">
        <v>4.027777777777778E-2</v>
      </c>
      <c r="O12" s="83">
        <v>0.15486111111111112</v>
      </c>
      <c r="P12" s="45">
        <v>0.15694444444444444</v>
      </c>
      <c r="Q12" s="47">
        <v>3.3885999999999998</v>
      </c>
      <c r="R12" t="s">
        <v>45</v>
      </c>
      <c r="S12" t="s">
        <v>44</v>
      </c>
      <c r="T12" t="s">
        <v>45</v>
      </c>
      <c r="U12" t="s">
        <v>45</v>
      </c>
      <c r="V12" s="7"/>
      <c r="W12" s="13">
        <f t="shared" si="14"/>
        <v>14.000000000000005</v>
      </c>
      <c r="X12" s="13">
        <f t="shared" si="14"/>
        <v>165</v>
      </c>
      <c r="Y12" s="40">
        <f t="shared" si="15"/>
        <v>44</v>
      </c>
      <c r="Z12" s="4">
        <f t="shared" si="15"/>
        <v>28.000000000000007</v>
      </c>
      <c r="AA12" s="4">
        <f t="shared" si="1"/>
        <v>-16.999999999999979</v>
      </c>
      <c r="AB12" s="4">
        <f t="shared" si="2"/>
        <v>-1</v>
      </c>
      <c r="AC12" s="4">
        <f t="shared" si="3"/>
        <v>-13.999999999999989</v>
      </c>
      <c r="AD12" s="13">
        <f t="shared" si="4"/>
        <v>3</v>
      </c>
      <c r="AE12" s="15">
        <f t="shared" si="5"/>
        <v>60.999999999999979</v>
      </c>
      <c r="AH12" s="18">
        <v>0</v>
      </c>
      <c r="AI12" s="19">
        <f t="shared" si="6"/>
        <v>30</v>
      </c>
      <c r="AJ12" s="19">
        <f t="shared" si="7"/>
        <v>240</v>
      </c>
      <c r="AK12" s="20">
        <f t="shared" si="16"/>
        <v>34</v>
      </c>
      <c r="AL12" s="19">
        <f t="shared" si="17"/>
        <v>34</v>
      </c>
      <c r="AM12" s="19">
        <f t="shared" si="18"/>
        <v>58.000000000000007</v>
      </c>
      <c r="AN12" s="19">
        <f t="shared" si="19"/>
        <v>58.000000000000007</v>
      </c>
      <c r="AO12" s="19">
        <f t="shared" si="8"/>
        <v>223</v>
      </c>
      <c r="AP12" s="19">
        <f t="shared" si="20"/>
        <v>161.5</v>
      </c>
      <c r="AQ12" s="19">
        <f t="shared" si="21"/>
        <v>226</v>
      </c>
      <c r="AR12" s="19">
        <f t="shared" si="22"/>
        <v>411</v>
      </c>
      <c r="AS12" s="47">
        <f t="shared" si="23"/>
        <v>-80.570000000000022</v>
      </c>
      <c r="AT12" t="e">
        <f t="shared" si="26"/>
        <v>#N/A</v>
      </c>
      <c r="AU12">
        <f t="shared" si="25"/>
        <v>-210</v>
      </c>
      <c r="AV12" t="e">
        <f t="shared" si="9"/>
        <v>#N/A</v>
      </c>
      <c r="AW12" t="e">
        <f t="shared" si="9"/>
        <v>#N/A</v>
      </c>
      <c r="BB12" s="84"/>
      <c r="BC12" s="14"/>
      <c r="BD12" s="14"/>
    </row>
    <row r="13" spans="1:56">
      <c r="A13" s="30">
        <f t="shared" si="0"/>
        <v>45820</v>
      </c>
      <c r="B13" s="31">
        <v>45820</v>
      </c>
      <c r="C13" s="32" t="s">
        <v>156</v>
      </c>
      <c r="D13" s="33">
        <v>0</v>
      </c>
      <c r="E13" s="35">
        <f t="shared" si="10"/>
        <v>2.0833333333333332E-2</v>
      </c>
      <c r="F13" s="34">
        <v>30</v>
      </c>
      <c r="G13" s="33">
        <v>0.16666666666666666</v>
      </c>
      <c r="H13" s="36">
        <f t="shared" si="11"/>
        <v>210</v>
      </c>
      <c r="I13" s="37">
        <f t="shared" si="12"/>
        <v>0.15138888888888888</v>
      </c>
      <c r="J13" s="4">
        <v>5</v>
      </c>
      <c r="K13" s="82">
        <f t="shared" si="13"/>
        <v>1.3494039735099337</v>
      </c>
      <c r="L13" s="7"/>
      <c r="M13" s="2">
        <v>2.9861111111111113E-2</v>
      </c>
      <c r="N13" s="2">
        <v>4.3055555555555555E-2</v>
      </c>
      <c r="O13" s="83">
        <v>0.14791666666666667</v>
      </c>
      <c r="P13" s="45">
        <v>0.15</v>
      </c>
      <c r="Q13" s="47">
        <v>3.3959999999999999</v>
      </c>
      <c r="R13" t="s">
        <v>45</v>
      </c>
      <c r="S13" t="s">
        <v>45</v>
      </c>
      <c r="T13" t="s">
        <v>45</v>
      </c>
      <c r="U13" t="s">
        <v>45</v>
      </c>
      <c r="V13" s="7"/>
      <c r="W13" s="13">
        <f t="shared" si="14"/>
        <v>18.999999999999996</v>
      </c>
      <c r="X13" s="13">
        <f t="shared" si="14"/>
        <v>151</v>
      </c>
      <c r="Y13" s="40">
        <f t="shared" si="15"/>
        <v>43</v>
      </c>
      <c r="Z13" s="4">
        <f t="shared" si="15"/>
        <v>32</v>
      </c>
      <c r="AA13" s="4">
        <f t="shared" si="1"/>
        <v>-26.999999999999986</v>
      </c>
      <c r="AB13" s="4">
        <f t="shared" si="2"/>
        <v>-16</v>
      </c>
      <c r="AC13" s="4">
        <f t="shared" si="3"/>
        <v>-23.999999999999993</v>
      </c>
      <c r="AD13" s="13">
        <f t="shared" si="4"/>
        <v>3</v>
      </c>
      <c r="AE13" s="15">
        <f t="shared" si="5"/>
        <v>69.999999999999986</v>
      </c>
      <c r="AH13" s="18">
        <v>0</v>
      </c>
      <c r="AI13" s="19">
        <f t="shared" si="6"/>
        <v>30</v>
      </c>
      <c r="AJ13" s="19">
        <f t="shared" si="7"/>
        <v>240</v>
      </c>
      <c r="AK13" s="20">
        <f t="shared" si="16"/>
        <v>33</v>
      </c>
      <c r="AL13" s="19">
        <f t="shared" si="17"/>
        <v>33</v>
      </c>
      <c r="AM13" s="19">
        <f t="shared" si="18"/>
        <v>62</v>
      </c>
      <c r="AN13" s="19">
        <f t="shared" si="19"/>
        <v>62</v>
      </c>
      <c r="AO13" s="19">
        <f t="shared" si="8"/>
        <v>213</v>
      </c>
      <c r="AP13" s="19">
        <f t="shared" si="20"/>
        <v>156.5</v>
      </c>
      <c r="AQ13" s="19">
        <f t="shared" si="21"/>
        <v>216</v>
      </c>
      <c r="AR13" s="19">
        <f t="shared" si="22"/>
        <v>420</v>
      </c>
      <c r="AS13" s="47">
        <f t="shared" si="23"/>
        <v>-80.200000000000017</v>
      </c>
      <c r="AT13" t="e">
        <f t="shared" si="26"/>
        <v>#N/A</v>
      </c>
      <c r="AU13" t="e">
        <f t="shared" si="25"/>
        <v>#N/A</v>
      </c>
      <c r="AV13" t="e">
        <f t="shared" si="9"/>
        <v>#N/A</v>
      </c>
      <c r="AW13" t="e">
        <f t="shared" si="9"/>
        <v>#N/A</v>
      </c>
      <c r="BB13" s="84"/>
      <c r="BC13" s="14"/>
      <c r="BD13" s="14"/>
    </row>
    <row r="14" spans="1:56">
      <c r="A14" s="30">
        <f t="shared" si="0"/>
        <v>45821</v>
      </c>
      <c r="B14" s="31">
        <v>45821</v>
      </c>
      <c r="C14" s="32" t="s">
        <v>156</v>
      </c>
      <c r="D14" s="33">
        <v>0</v>
      </c>
      <c r="E14" s="35">
        <f t="shared" si="10"/>
        <v>2.0833333333333332E-2</v>
      </c>
      <c r="F14" s="34">
        <v>30</v>
      </c>
      <c r="G14" s="33">
        <v>0.16666666666666666</v>
      </c>
      <c r="H14" s="36">
        <f t="shared" si="11"/>
        <v>210</v>
      </c>
      <c r="I14" s="37">
        <f t="shared" si="12"/>
        <v>0.16874999999999998</v>
      </c>
      <c r="J14" s="4">
        <v>5</v>
      </c>
      <c r="K14" s="82">
        <f t="shared" si="13"/>
        <v>1.6573548387096773</v>
      </c>
      <c r="L14" s="7"/>
      <c r="M14" s="2">
        <v>6.6666666666666666E-2</v>
      </c>
      <c r="N14" s="2">
        <v>7.9166666666666663E-2</v>
      </c>
      <c r="O14" s="83">
        <v>0.16527777777777777</v>
      </c>
      <c r="P14" s="45">
        <v>0.1673611111111111</v>
      </c>
      <c r="Q14" s="47">
        <v>3.4251999999999998</v>
      </c>
      <c r="R14" t="s">
        <v>44</v>
      </c>
      <c r="S14" t="s">
        <v>45</v>
      </c>
      <c r="T14" t="s">
        <v>45</v>
      </c>
      <c r="U14" t="s">
        <v>45</v>
      </c>
      <c r="V14" s="7"/>
      <c r="W14" s="13">
        <f t="shared" si="14"/>
        <v>17.999999999999996</v>
      </c>
      <c r="X14" s="13">
        <f t="shared" si="14"/>
        <v>124</v>
      </c>
      <c r="Y14" s="40">
        <f t="shared" si="15"/>
        <v>96</v>
      </c>
      <c r="Z14" s="4">
        <f t="shared" si="15"/>
        <v>84</v>
      </c>
      <c r="AA14" s="4">
        <f t="shared" si="1"/>
        <v>-1.9999999999999929</v>
      </c>
      <c r="AB14" s="4">
        <f t="shared" si="2"/>
        <v>10</v>
      </c>
      <c r="AC14" s="4">
        <f t="shared" si="3"/>
        <v>0.99999999999999645</v>
      </c>
      <c r="AD14" s="13">
        <f t="shared" si="4"/>
        <v>3</v>
      </c>
      <c r="AE14" s="15">
        <f t="shared" si="5"/>
        <v>98</v>
      </c>
      <c r="AH14" s="18">
        <v>0</v>
      </c>
      <c r="AI14" s="19">
        <f t="shared" si="6"/>
        <v>30</v>
      </c>
      <c r="AJ14" s="19">
        <f t="shared" si="7"/>
        <v>240</v>
      </c>
      <c r="AK14" s="20">
        <f t="shared" si="16"/>
        <v>86</v>
      </c>
      <c r="AL14" s="19">
        <f t="shared" si="17"/>
        <v>86</v>
      </c>
      <c r="AM14" s="19">
        <f t="shared" si="18"/>
        <v>114</v>
      </c>
      <c r="AN14" s="19">
        <f t="shared" si="19"/>
        <v>114</v>
      </c>
      <c r="AO14" s="19">
        <f t="shared" si="8"/>
        <v>238</v>
      </c>
      <c r="AP14" s="19">
        <f t="shared" si="20"/>
        <v>169</v>
      </c>
      <c r="AQ14" s="19">
        <f t="shared" si="21"/>
        <v>241</v>
      </c>
      <c r="AR14" s="19">
        <f t="shared" si="22"/>
        <v>448</v>
      </c>
      <c r="AS14" s="47">
        <f t="shared" si="23"/>
        <v>-78.740000000000009</v>
      </c>
      <c r="AT14">
        <f t="shared" si="26"/>
        <v>-225</v>
      </c>
      <c r="AU14" t="e">
        <f t="shared" si="25"/>
        <v>#N/A</v>
      </c>
      <c r="AV14" t="e">
        <f t="shared" si="9"/>
        <v>#N/A</v>
      </c>
      <c r="AW14" t="e">
        <f t="shared" si="9"/>
        <v>#N/A</v>
      </c>
      <c r="BB14" s="84"/>
      <c r="BC14" s="14"/>
      <c r="BD14" s="14"/>
    </row>
    <row r="15" spans="1:56">
      <c r="A15" s="30">
        <f t="shared" si="0"/>
        <v>45822</v>
      </c>
      <c r="B15" s="31">
        <v>45822</v>
      </c>
      <c r="C15" s="32" t="s">
        <v>156</v>
      </c>
      <c r="D15" s="33">
        <v>0</v>
      </c>
      <c r="E15" s="35">
        <f t="shared" si="10"/>
        <v>2.0833333333333332E-2</v>
      </c>
      <c r="F15" s="34">
        <v>30</v>
      </c>
      <c r="G15" s="33">
        <v>0.16666666666666666</v>
      </c>
      <c r="H15" s="36">
        <f t="shared" si="11"/>
        <v>210</v>
      </c>
      <c r="I15" s="37">
        <f t="shared" si="12"/>
        <v>0.18680555555555553</v>
      </c>
      <c r="J15" s="4">
        <v>5</v>
      </c>
      <c r="K15" s="82">
        <f t="shared" si="13"/>
        <v>1.2151597633136098</v>
      </c>
      <c r="L15" s="7"/>
      <c r="M15" s="2">
        <v>5.4166666666666669E-2</v>
      </c>
      <c r="N15" s="2">
        <v>6.5972222222222224E-2</v>
      </c>
      <c r="O15" s="83">
        <v>0.18333333333333332</v>
      </c>
      <c r="P15" s="45">
        <v>0.18541666666666667</v>
      </c>
      <c r="Q15" s="47">
        <v>3.4226999999999999</v>
      </c>
      <c r="R15" t="s">
        <v>44</v>
      </c>
      <c r="S15" t="s">
        <v>45</v>
      </c>
      <c r="T15" t="s">
        <v>45</v>
      </c>
      <c r="U15" t="s">
        <v>45</v>
      </c>
      <c r="V15" s="7"/>
      <c r="W15" s="13">
        <f t="shared" si="14"/>
        <v>17</v>
      </c>
      <c r="X15" s="13">
        <f t="shared" si="14"/>
        <v>168.99999999999997</v>
      </c>
      <c r="Y15" s="40">
        <f t="shared" si="15"/>
        <v>78</v>
      </c>
      <c r="Z15" s="4">
        <f t="shared" si="15"/>
        <v>65.000000000000014</v>
      </c>
      <c r="AA15" s="4">
        <f t="shared" si="1"/>
        <v>23.999999999999993</v>
      </c>
      <c r="AB15" s="4">
        <f t="shared" si="2"/>
        <v>36.999999999999972</v>
      </c>
      <c r="AC15" s="4">
        <f t="shared" si="3"/>
        <v>27.000000000000025</v>
      </c>
      <c r="AD15" s="13">
        <f t="shared" si="4"/>
        <v>3</v>
      </c>
      <c r="AE15" s="15">
        <f t="shared" si="5"/>
        <v>54.000000000000007</v>
      </c>
      <c r="AH15" s="18">
        <v>0</v>
      </c>
      <c r="AI15" s="19">
        <f t="shared" si="6"/>
        <v>30</v>
      </c>
      <c r="AJ15" s="19">
        <f t="shared" si="7"/>
        <v>240</v>
      </c>
      <c r="AK15" s="20">
        <f t="shared" si="16"/>
        <v>68</v>
      </c>
      <c r="AL15" s="19">
        <f t="shared" si="17"/>
        <v>68</v>
      </c>
      <c r="AM15" s="19">
        <f t="shared" si="18"/>
        <v>95.000000000000014</v>
      </c>
      <c r="AN15" s="19">
        <f t="shared" si="19"/>
        <v>95.000000000000014</v>
      </c>
      <c r="AO15" s="19">
        <f t="shared" si="8"/>
        <v>264</v>
      </c>
      <c r="AP15" s="19">
        <f t="shared" si="20"/>
        <v>182</v>
      </c>
      <c r="AQ15" s="19">
        <f t="shared" si="21"/>
        <v>267</v>
      </c>
      <c r="AR15" s="19">
        <f t="shared" si="22"/>
        <v>404</v>
      </c>
      <c r="AS15" s="47">
        <f t="shared" si="23"/>
        <v>-78.865000000000009</v>
      </c>
      <c r="AT15">
        <f t="shared" si="26"/>
        <v>-225</v>
      </c>
      <c r="AU15" t="e">
        <f t="shared" si="25"/>
        <v>#N/A</v>
      </c>
      <c r="AV15" t="e">
        <f t="shared" si="9"/>
        <v>#N/A</v>
      </c>
      <c r="AW15" t="e">
        <f t="shared" si="9"/>
        <v>#N/A</v>
      </c>
      <c r="BB15" s="84"/>
      <c r="BC15" s="14"/>
      <c r="BD15" s="14"/>
    </row>
    <row r="16" spans="1:56">
      <c r="A16" s="30">
        <f t="shared" si="0"/>
        <v>45823</v>
      </c>
      <c r="B16" s="31">
        <v>45823</v>
      </c>
      <c r="C16" s="32" t="s">
        <v>156</v>
      </c>
      <c r="D16" s="33">
        <v>0</v>
      </c>
      <c r="E16" s="35">
        <f t="shared" si="10"/>
        <v>2.0833333333333332E-2</v>
      </c>
      <c r="F16" s="34">
        <v>30</v>
      </c>
      <c r="G16" s="33">
        <v>0.16666666666666666</v>
      </c>
      <c r="H16" s="36">
        <f t="shared" si="11"/>
        <v>210</v>
      </c>
      <c r="I16" s="37">
        <f t="shared" si="12"/>
        <v>0.16458333333333333</v>
      </c>
      <c r="J16" s="4">
        <v>5</v>
      </c>
      <c r="K16" s="82">
        <f t="shared" si="13"/>
        <v>1.39669387755102</v>
      </c>
      <c r="L16" s="7"/>
      <c r="M16" s="2">
        <v>4.7222222222222221E-2</v>
      </c>
      <c r="N16" s="2">
        <v>5.9027777777777776E-2</v>
      </c>
      <c r="O16" s="83">
        <v>0.16111111111111112</v>
      </c>
      <c r="P16" s="45">
        <v>0.16319444444444445</v>
      </c>
      <c r="Q16" s="47">
        <v>3.4218999999999999</v>
      </c>
      <c r="R16" t="s">
        <v>44</v>
      </c>
      <c r="S16" t="s">
        <v>45</v>
      </c>
      <c r="T16" t="s">
        <v>45</v>
      </c>
      <c r="U16" t="s">
        <v>45</v>
      </c>
      <c r="V16" s="7"/>
      <c r="W16" s="13">
        <f t="shared" si="14"/>
        <v>17</v>
      </c>
      <c r="X16" s="13">
        <f t="shared" si="14"/>
        <v>147.00000000000003</v>
      </c>
      <c r="Y16" s="40">
        <f t="shared" si="15"/>
        <v>68</v>
      </c>
      <c r="Z16" s="4">
        <f t="shared" si="15"/>
        <v>55.000000000000007</v>
      </c>
      <c r="AA16" s="4">
        <f t="shared" si="1"/>
        <v>-7.9999999999999716</v>
      </c>
      <c r="AB16" s="4">
        <f t="shared" si="2"/>
        <v>5.0000000000000284</v>
      </c>
      <c r="AC16" s="4">
        <f t="shared" si="3"/>
        <v>-4.9999999999999822</v>
      </c>
      <c r="AD16" s="13">
        <f t="shared" si="4"/>
        <v>3</v>
      </c>
      <c r="AE16" s="15">
        <f t="shared" si="5"/>
        <v>75.999999999999972</v>
      </c>
      <c r="AH16" s="18">
        <v>0</v>
      </c>
      <c r="AI16" s="19">
        <f t="shared" si="6"/>
        <v>30</v>
      </c>
      <c r="AJ16" s="19">
        <f t="shared" si="7"/>
        <v>240</v>
      </c>
      <c r="AK16" s="20">
        <f t="shared" si="16"/>
        <v>58</v>
      </c>
      <c r="AL16" s="19">
        <f t="shared" si="17"/>
        <v>58</v>
      </c>
      <c r="AM16" s="19">
        <f t="shared" si="18"/>
        <v>85</v>
      </c>
      <c r="AN16" s="19">
        <f t="shared" si="19"/>
        <v>85</v>
      </c>
      <c r="AO16" s="19">
        <f>AN16+X16</f>
        <v>232.00000000000003</v>
      </c>
      <c r="AP16" s="19">
        <f t="shared" si="20"/>
        <v>166</v>
      </c>
      <c r="AQ16" s="19">
        <f t="shared" si="21"/>
        <v>235.00000000000003</v>
      </c>
      <c r="AR16" s="19">
        <f t="shared" si="22"/>
        <v>426</v>
      </c>
      <c r="AS16" s="47">
        <f t="shared" si="23"/>
        <v>-78.905000000000001</v>
      </c>
      <c r="AT16">
        <f t="shared" si="26"/>
        <v>-225</v>
      </c>
      <c r="AU16" t="e">
        <f t="shared" si="25"/>
        <v>#N/A</v>
      </c>
      <c r="AV16" t="e">
        <f t="shared" si="9"/>
        <v>#N/A</v>
      </c>
      <c r="AW16" t="e">
        <f t="shared" si="9"/>
        <v>#N/A</v>
      </c>
      <c r="BB16" s="84"/>
      <c r="BC16" s="14"/>
      <c r="BD16" s="14"/>
    </row>
    <row r="17" spans="1:56">
      <c r="A17" s="30">
        <f t="shared" si="0"/>
        <v>45824</v>
      </c>
      <c r="B17" s="31">
        <v>45824</v>
      </c>
      <c r="C17" s="32" t="s">
        <v>156</v>
      </c>
      <c r="D17" s="33">
        <v>0</v>
      </c>
      <c r="E17" s="35">
        <f t="shared" si="10"/>
        <v>2.0833333333333332E-2</v>
      </c>
      <c r="F17" s="34">
        <v>30</v>
      </c>
      <c r="G17" s="33">
        <v>0.16666666666666666</v>
      </c>
      <c r="H17" s="36">
        <f t="shared" si="11"/>
        <v>210</v>
      </c>
      <c r="I17" s="37">
        <f t="shared" si="12"/>
        <v>0.16180555555555554</v>
      </c>
      <c r="J17" s="4">
        <v>5</v>
      </c>
      <c r="K17" s="82">
        <f t="shared" si="13"/>
        <v>1.3571842105263161</v>
      </c>
      <c r="L17" s="7"/>
      <c r="M17" s="2">
        <v>4.1666666666666664E-2</v>
      </c>
      <c r="N17" s="2">
        <v>5.2777777777777778E-2</v>
      </c>
      <c r="O17" s="83">
        <v>0.15833333333333333</v>
      </c>
      <c r="P17" s="45">
        <v>0.16041666666666668</v>
      </c>
      <c r="Q17" s="47">
        <v>3.4382000000000001</v>
      </c>
      <c r="R17" t="s">
        <v>44</v>
      </c>
      <c r="S17" t="s">
        <v>45</v>
      </c>
      <c r="T17" t="s">
        <v>45</v>
      </c>
      <c r="U17" t="s">
        <v>45</v>
      </c>
      <c r="V17" s="7"/>
      <c r="W17" s="13">
        <f t="shared" si="14"/>
        <v>16.000000000000004</v>
      </c>
      <c r="X17" s="13">
        <f t="shared" si="14"/>
        <v>151.99999999999997</v>
      </c>
      <c r="Y17" s="40">
        <f t="shared" si="15"/>
        <v>60</v>
      </c>
      <c r="Z17" s="4">
        <f t="shared" si="15"/>
        <v>46</v>
      </c>
      <c r="AA17" s="4">
        <f t="shared" si="1"/>
        <v>-11.999999999999996</v>
      </c>
      <c r="AB17" s="4">
        <f t="shared" si="2"/>
        <v>1.9999999999999716</v>
      </c>
      <c r="AC17" s="4">
        <f t="shared" si="3"/>
        <v>-8.999999999999968</v>
      </c>
      <c r="AD17" s="13">
        <f t="shared" si="4"/>
        <v>3</v>
      </c>
      <c r="AE17" s="15">
        <f t="shared" si="5"/>
        <v>72</v>
      </c>
      <c r="AH17" s="18">
        <v>0</v>
      </c>
      <c r="AI17" s="19">
        <f t="shared" si="6"/>
        <v>30</v>
      </c>
      <c r="AJ17" s="19">
        <f t="shared" si="7"/>
        <v>240</v>
      </c>
      <c r="AK17" s="20">
        <f t="shared" si="16"/>
        <v>50</v>
      </c>
      <c r="AL17" s="19">
        <f t="shared" si="17"/>
        <v>50</v>
      </c>
      <c r="AM17" s="19">
        <f t="shared" si="18"/>
        <v>76</v>
      </c>
      <c r="AN17" s="19">
        <f t="shared" si="19"/>
        <v>76</v>
      </c>
      <c r="AO17" s="19">
        <f>AN17+X17</f>
        <v>227.99999999999997</v>
      </c>
      <c r="AP17" s="19">
        <f t="shared" si="20"/>
        <v>164</v>
      </c>
      <c r="AQ17" s="19">
        <f t="shared" si="21"/>
        <v>230.99999999999997</v>
      </c>
      <c r="AR17" s="19">
        <f t="shared" si="22"/>
        <v>422</v>
      </c>
      <c r="AS17" s="47">
        <f t="shared" si="23"/>
        <v>-78.09</v>
      </c>
      <c r="AT17">
        <f t="shared" si="26"/>
        <v>-225</v>
      </c>
      <c r="AU17" t="e">
        <f t="shared" si="25"/>
        <v>#N/A</v>
      </c>
      <c r="AV17" t="e">
        <f t="shared" si="9"/>
        <v>#N/A</v>
      </c>
      <c r="AW17" t="e">
        <f t="shared" si="9"/>
        <v>#N/A</v>
      </c>
      <c r="BB17" s="84"/>
      <c r="BC17" s="14"/>
      <c r="BD17" s="14"/>
    </row>
    <row r="18" spans="1:56">
      <c r="A18" s="30">
        <f t="shared" si="0"/>
        <v>45825</v>
      </c>
      <c r="B18" s="31">
        <v>45825</v>
      </c>
      <c r="C18" s="32" t="s">
        <v>156</v>
      </c>
      <c r="D18" s="33">
        <v>0</v>
      </c>
      <c r="E18" s="35">
        <f t="shared" si="10"/>
        <v>2.0833333333333332E-2</v>
      </c>
      <c r="F18" s="34">
        <v>30</v>
      </c>
      <c r="G18" s="33">
        <v>0.16666666666666666</v>
      </c>
      <c r="H18" s="36">
        <f t="shared" si="11"/>
        <v>210</v>
      </c>
      <c r="I18" s="37">
        <f t="shared" si="12"/>
        <v>0.15</v>
      </c>
      <c r="J18" s="4">
        <v>5</v>
      </c>
      <c r="K18" s="82">
        <f t="shared" si="13"/>
        <v>1.4041632653061222</v>
      </c>
      <c r="L18" s="7"/>
      <c r="M18" s="2">
        <v>3.1944444444444442E-2</v>
      </c>
      <c r="N18" s="2">
        <v>4.4444444444444446E-2</v>
      </c>
      <c r="O18" s="83">
        <v>0.14652777777777778</v>
      </c>
      <c r="P18" s="45">
        <v>0.14861111111111111</v>
      </c>
      <c r="Q18" s="47">
        <v>3.4401999999999999</v>
      </c>
      <c r="R18" t="s">
        <v>45</v>
      </c>
      <c r="S18" t="s">
        <v>45</v>
      </c>
      <c r="T18" t="s">
        <v>45</v>
      </c>
      <c r="U18" t="s">
        <v>45</v>
      </c>
      <c r="V18" s="7"/>
      <c r="W18" s="13">
        <f t="shared" si="14"/>
        <v>18.000000000000007</v>
      </c>
      <c r="X18" s="13">
        <f t="shared" si="14"/>
        <v>147</v>
      </c>
      <c r="Y18" s="40">
        <f t="shared" si="15"/>
        <v>46</v>
      </c>
      <c r="Z18" s="4">
        <f t="shared" si="15"/>
        <v>34.000000000000007</v>
      </c>
      <c r="AA18" s="4">
        <f t="shared" si="1"/>
        <v>-28.999999999999979</v>
      </c>
      <c r="AB18" s="4">
        <f t="shared" si="2"/>
        <v>-17</v>
      </c>
      <c r="AC18" s="4">
        <f t="shared" si="3"/>
        <v>-25.999999999999986</v>
      </c>
      <c r="AD18" s="13">
        <f t="shared" si="4"/>
        <v>3</v>
      </c>
      <c r="AE18" s="15">
        <f t="shared" si="5"/>
        <v>74.999999999999972</v>
      </c>
      <c r="AH18" s="18">
        <v>0</v>
      </c>
      <c r="AI18" s="19">
        <f t="shared" si="6"/>
        <v>30</v>
      </c>
      <c r="AJ18" s="19">
        <f t="shared" si="7"/>
        <v>240</v>
      </c>
      <c r="AK18" s="20">
        <f t="shared" si="16"/>
        <v>36</v>
      </c>
      <c r="AL18" s="19">
        <f t="shared" si="17"/>
        <v>36</v>
      </c>
      <c r="AM18" s="19">
        <f t="shared" si="18"/>
        <v>64</v>
      </c>
      <c r="AN18" s="19">
        <f t="shared" si="19"/>
        <v>64</v>
      </c>
      <c r="AO18" s="19">
        <f>AN18+X18</f>
        <v>211</v>
      </c>
      <c r="AP18" s="19">
        <f t="shared" si="20"/>
        <v>155.5</v>
      </c>
      <c r="AQ18" s="19">
        <f t="shared" si="21"/>
        <v>214</v>
      </c>
      <c r="AR18" s="19">
        <f t="shared" si="22"/>
        <v>425</v>
      </c>
      <c r="AS18" s="47">
        <f t="shared" si="23"/>
        <v>-77.990000000000009</v>
      </c>
      <c r="AT18" t="e">
        <f>IF(R18="Yes",-225,NA())</f>
        <v>#N/A</v>
      </c>
      <c r="AU18" t="e">
        <f t="shared" si="25"/>
        <v>#N/A</v>
      </c>
      <c r="AV18" t="e">
        <f t="shared" si="25"/>
        <v>#N/A</v>
      </c>
      <c r="AW18" t="e">
        <f t="shared" si="25"/>
        <v>#N/A</v>
      </c>
      <c r="BB18" s="84"/>
      <c r="BC18" s="14"/>
      <c r="BD18" s="14"/>
    </row>
    <row r="19" spans="1:56">
      <c r="A19" s="30">
        <f t="shared" si="0"/>
        <v>45826</v>
      </c>
      <c r="B19" s="31">
        <v>45826</v>
      </c>
      <c r="C19" s="32" t="s">
        <v>156</v>
      </c>
      <c r="D19" s="33">
        <v>0</v>
      </c>
      <c r="E19" s="35">
        <f t="shared" si="10"/>
        <v>2.0833333333333332E-2</v>
      </c>
      <c r="F19" s="34">
        <v>30</v>
      </c>
      <c r="G19" s="33">
        <v>0.16666666666666666</v>
      </c>
      <c r="H19" s="36">
        <f t="shared" si="11"/>
        <v>210</v>
      </c>
      <c r="I19" s="37">
        <f t="shared" si="12"/>
        <v>0.15625</v>
      </c>
      <c r="J19" s="4">
        <v>5</v>
      </c>
      <c r="K19" s="82">
        <f t="shared" si="13"/>
        <v>1.363072847682119</v>
      </c>
      <c r="L19" s="7"/>
      <c r="M19" s="2">
        <v>3.2638888888888891E-2</v>
      </c>
      <c r="N19" s="2">
        <v>4.791666666666667E-2</v>
      </c>
      <c r="O19" s="83">
        <v>0.15277777777777779</v>
      </c>
      <c r="P19" s="45">
        <v>0.15486111111111112</v>
      </c>
      <c r="Q19" s="47">
        <v>3.4304000000000001</v>
      </c>
      <c r="R19" t="s">
        <v>44</v>
      </c>
      <c r="S19" t="s">
        <v>44</v>
      </c>
      <c r="T19" t="s">
        <v>45</v>
      </c>
      <c r="U19" t="s">
        <v>45</v>
      </c>
      <c r="V19" s="7"/>
      <c r="W19" s="13">
        <f t="shared" si="14"/>
        <v>22</v>
      </c>
      <c r="X19" s="13">
        <f t="shared" si="14"/>
        <v>151.00000000000003</v>
      </c>
      <c r="Y19" s="40">
        <f t="shared" si="15"/>
        <v>47</v>
      </c>
      <c r="Z19" s="4">
        <f t="shared" si="15"/>
        <v>39.000000000000007</v>
      </c>
      <c r="AA19" s="4">
        <f t="shared" si="1"/>
        <v>-19.999999999999968</v>
      </c>
      <c r="AB19" s="4">
        <f t="shared" si="2"/>
        <v>-11.999999999999972</v>
      </c>
      <c r="AC19" s="4">
        <f t="shared" si="3"/>
        <v>-16.999999999999979</v>
      </c>
      <c r="AD19" s="13">
        <f t="shared" si="4"/>
        <v>3</v>
      </c>
      <c r="AE19" s="15">
        <f t="shared" si="5"/>
        <v>66.999999999999972</v>
      </c>
      <c r="AH19" s="18">
        <v>0</v>
      </c>
      <c r="AI19" s="19">
        <f t="shared" si="6"/>
        <v>30</v>
      </c>
      <c r="AJ19" s="19">
        <f t="shared" si="7"/>
        <v>240</v>
      </c>
      <c r="AK19" s="20">
        <f t="shared" si="16"/>
        <v>37</v>
      </c>
      <c r="AL19" s="19">
        <f t="shared" si="17"/>
        <v>37</v>
      </c>
      <c r="AM19" s="19">
        <f t="shared" si="18"/>
        <v>69</v>
      </c>
      <c r="AN19" s="19">
        <f t="shared" si="19"/>
        <v>69</v>
      </c>
      <c r="AO19" s="19">
        <f>AN19+X19</f>
        <v>220.00000000000003</v>
      </c>
      <c r="AP19" s="19">
        <f t="shared" si="20"/>
        <v>160</v>
      </c>
      <c r="AQ19" s="19">
        <f t="shared" si="21"/>
        <v>223.00000000000003</v>
      </c>
      <c r="AR19" s="19">
        <f t="shared" si="22"/>
        <v>417</v>
      </c>
      <c r="AS19" s="47">
        <f t="shared" si="23"/>
        <v>-78.47999999999999</v>
      </c>
      <c r="AT19">
        <f t="shared" ref="AT19:AT20" si="27">IF(R19="Yes",-225,NA())</f>
        <v>-225</v>
      </c>
      <c r="AU19">
        <f t="shared" si="25"/>
        <v>-210</v>
      </c>
      <c r="AV19" t="e">
        <f t="shared" si="25"/>
        <v>#N/A</v>
      </c>
      <c r="AW19" t="e">
        <f t="shared" si="25"/>
        <v>#N/A</v>
      </c>
      <c r="BB19" s="84"/>
      <c r="BC19" s="14"/>
      <c r="BD19" s="14"/>
    </row>
    <row r="20" spans="1:56">
      <c r="A20" s="30">
        <f t="shared" si="0"/>
        <v>45827</v>
      </c>
      <c r="B20" s="31">
        <v>45827</v>
      </c>
      <c r="C20" s="32" t="s">
        <v>156</v>
      </c>
      <c r="D20" s="33">
        <v>0</v>
      </c>
      <c r="E20" s="35">
        <f t="shared" si="10"/>
        <v>2.0833333333333332E-2</v>
      </c>
      <c r="F20" s="34">
        <v>30</v>
      </c>
      <c r="G20" s="33">
        <v>0.16666666666666666</v>
      </c>
      <c r="H20" s="36">
        <f t="shared" si="11"/>
        <v>210</v>
      </c>
      <c r="I20" s="37">
        <f t="shared" si="12"/>
        <v>0.1673611111111111</v>
      </c>
      <c r="J20" s="4">
        <v>5</v>
      </c>
      <c r="K20" s="82">
        <f t="shared" si="13"/>
        <v>1.3687152317880795</v>
      </c>
      <c r="L20" s="7"/>
      <c r="M20" s="2">
        <v>3.125E-2</v>
      </c>
      <c r="N20" s="2">
        <v>5.9027777777777776E-2</v>
      </c>
      <c r="O20" s="83">
        <v>0.16388888888888889</v>
      </c>
      <c r="P20" s="45">
        <v>0.16597222222222222</v>
      </c>
      <c r="Q20" s="47">
        <v>3.4445999999999999</v>
      </c>
      <c r="R20" t="s">
        <v>44</v>
      </c>
      <c r="S20" t="s">
        <v>44</v>
      </c>
      <c r="T20" t="s">
        <v>45</v>
      </c>
      <c r="U20" t="s">
        <v>45</v>
      </c>
      <c r="V20" s="7"/>
      <c r="W20" s="13">
        <f t="shared" si="14"/>
        <v>40</v>
      </c>
      <c r="X20" s="13">
        <f t="shared" si="14"/>
        <v>151</v>
      </c>
      <c r="Y20" s="40">
        <f t="shared" si="15"/>
        <v>45</v>
      </c>
      <c r="Z20" s="4">
        <f t="shared" si="15"/>
        <v>55.000000000000007</v>
      </c>
      <c r="AA20" s="4">
        <f t="shared" si="1"/>
        <v>-3.9999999999999858</v>
      </c>
      <c r="AB20" s="4">
        <f t="shared" si="2"/>
        <v>-14</v>
      </c>
      <c r="AC20" s="4">
        <f t="shared" si="3"/>
        <v>-0.99999999999999645</v>
      </c>
      <c r="AD20" s="13">
        <f t="shared" si="4"/>
        <v>3</v>
      </c>
      <c r="AE20" s="15">
        <f t="shared" si="5"/>
        <v>48.999999999999986</v>
      </c>
      <c r="AH20" s="18">
        <v>0</v>
      </c>
      <c r="AI20" s="19">
        <f t="shared" si="6"/>
        <v>30</v>
      </c>
      <c r="AJ20" s="19">
        <f t="shared" si="7"/>
        <v>240</v>
      </c>
      <c r="AK20" s="20">
        <f t="shared" si="16"/>
        <v>35</v>
      </c>
      <c r="AL20" s="19">
        <f>AK20</f>
        <v>35</v>
      </c>
      <c r="AM20" s="19">
        <f t="shared" si="18"/>
        <v>85</v>
      </c>
      <c r="AN20" s="19">
        <f t="shared" si="19"/>
        <v>85</v>
      </c>
      <c r="AO20" s="19">
        <f>AN20+X20</f>
        <v>236</v>
      </c>
      <c r="AP20" s="19">
        <f t="shared" si="20"/>
        <v>168</v>
      </c>
      <c r="AQ20" s="19">
        <f t="shared" si="21"/>
        <v>239</v>
      </c>
      <c r="AR20" s="19">
        <f t="shared" si="22"/>
        <v>399</v>
      </c>
      <c r="AS20" s="47">
        <f t="shared" si="23"/>
        <v>-77.77000000000001</v>
      </c>
      <c r="AT20">
        <f t="shared" si="27"/>
        <v>-225</v>
      </c>
      <c r="AU20">
        <f t="shared" si="25"/>
        <v>-210</v>
      </c>
      <c r="AV20" t="e">
        <f t="shared" si="25"/>
        <v>#N/A</v>
      </c>
      <c r="AW20" t="e">
        <f t="shared" si="25"/>
        <v>#N/A</v>
      </c>
      <c r="BB20" s="84"/>
      <c r="BC20" s="14"/>
      <c r="BD20" s="14"/>
    </row>
    <row r="21" spans="1:56">
      <c r="A21" s="30">
        <f t="shared" si="0"/>
        <v>45828</v>
      </c>
      <c r="B21" s="31">
        <v>45828</v>
      </c>
      <c r="C21" s="32" t="s">
        <v>156</v>
      </c>
      <c r="D21" s="33">
        <v>0</v>
      </c>
      <c r="E21" s="35">
        <f t="shared" si="10"/>
        <v>2.0833333333333332E-2</v>
      </c>
      <c r="F21" s="34">
        <v>30</v>
      </c>
      <c r="G21" s="33">
        <v>0.16666666666666666</v>
      </c>
      <c r="H21" s="36">
        <f t="shared" si="11"/>
        <v>210</v>
      </c>
      <c r="I21" s="37">
        <f t="shared" si="12"/>
        <v>0.15972222222222221</v>
      </c>
      <c r="J21" s="4">
        <v>5</v>
      </c>
      <c r="K21" s="82">
        <f t="shared" si="13"/>
        <v>1.4560985915492957</v>
      </c>
      <c r="L21" s="7"/>
      <c r="M21" s="2">
        <v>4.5138888888888888E-2</v>
      </c>
      <c r="N21" s="2">
        <v>5.7638888888888892E-2</v>
      </c>
      <c r="O21" s="83">
        <v>0.15625</v>
      </c>
      <c r="P21" s="45">
        <v>0.15833333333333333</v>
      </c>
      <c r="Q21" s="47">
        <v>3.4460999999999999</v>
      </c>
      <c r="R21" t="s">
        <v>45</v>
      </c>
      <c r="S21" t="s">
        <v>44</v>
      </c>
      <c r="T21" t="s">
        <v>45</v>
      </c>
      <c r="U21" t="s">
        <v>45</v>
      </c>
      <c r="V21" s="7"/>
      <c r="W21" s="13">
        <f t="shared" si="14"/>
        <v>18.000000000000007</v>
      </c>
      <c r="X21" s="13">
        <f t="shared" si="14"/>
        <v>142</v>
      </c>
      <c r="Y21" s="40">
        <f t="shared" si="15"/>
        <v>65</v>
      </c>
      <c r="Z21" s="4">
        <f t="shared" si="15"/>
        <v>53.000000000000014</v>
      </c>
      <c r="AA21" s="4">
        <f t="shared" si="1"/>
        <v>-14.999999999999986</v>
      </c>
      <c r="AB21" s="4">
        <f t="shared" si="2"/>
        <v>-3</v>
      </c>
      <c r="AC21" s="4">
        <f t="shared" si="3"/>
        <v>-11.999999999999996</v>
      </c>
      <c r="AD21" s="13">
        <f t="shared" si="4"/>
        <v>3</v>
      </c>
      <c r="AE21" s="15">
        <f t="shared" si="5"/>
        <v>79.999999999999986</v>
      </c>
      <c r="AH21" s="18">
        <v>0</v>
      </c>
      <c r="AI21" s="19">
        <f t="shared" si="6"/>
        <v>30</v>
      </c>
      <c r="AJ21" s="19">
        <f t="shared" si="7"/>
        <v>240</v>
      </c>
      <c r="AK21" s="20">
        <f t="shared" si="16"/>
        <v>55</v>
      </c>
      <c r="AL21" s="19">
        <f t="shared" ref="AL21:AL31" si="28">AK21</f>
        <v>55</v>
      </c>
      <c r="AM21" s="19">
        <f t="shared" si="18"/>
        <v>83.000000000000014</v>
      </c>
      <c r="AN21" s="19">
        <f t="shared" si="19"/>
        <v>83.000000000000014</v>
      </c>
      <c r="AO21" s="19">
        <f t="shared" ref="AO21:AO31" si="29">AN21+X21</f>
        <v>225</v>
      </c>
      <c r="AP21" s="19">
        <f t="shared" si="20"/>
        <v>162.5</v>
      </c>
      <c r="AQ21" s="19">
        <f t="shared" si="21"/>
        <v>228</v>
      </c>
      <c r="AR21" s="19">
        <f t="shared" si="22"/>
        <v>430</v>
      </c>
      <c r="AS21" s="47">
        <f t="shared" si="23"/>
        <v>-77.694999999999993</v>
      </c>
      <c r="AT21" t="e">
        <f>IF(R21="Yes",-225,NA())</f>
        <v>#N/A</v>
      </c>
      <c r="AU21">
        <f t="shared" si="25"/>
        <v>-210</v>
      </c>
      <c r="AV21" t="e">
        <f t="shared" si="25"/>
        <v>#N/A</v>
      </c>
      <c r="AW21" t="e">
        <f t="shared" si="25"/>
        <v>#N/A</v>
      </c>
      <c r="BB21" s="84"/>
      <c r="BC21" s="14"/>
      <c r="BD21" s="14"/>
    </row>
    <row r="22" spans="1:56">
      <c r="A22" s="30">
        <f t="shared" si="0"/>
        <v>45829</v>
      </c>
      <c r="B22" s="31">
        <v>45829</v>
      </c>
      <c r="C22" s="32" t="s">
        <v>156</v>
      </c>
      <c r="D22" s="33">
        <v>0</v>
      </c>
      <c r="E22" s="35">
        <f t="shared" si="10"/>
        <v>2.0833333333333332E-2</v>
      </c>
      <c r="F22" s="34">
        <v>30</v>
      </c>
      <c r="G22" s="33">
        <v>0.16666666666666666</v>
      </c>
      <c r="H22" s="36">
        <f t="shared" si="11"/>
        <v>210</v>
      </c>
      <c r="I22" s="37">
        <f t="shared" si="12"/>
        <v>0.19999999999999998</v>
      </c>
      <c r="J22" s="4">
        <v>5</v>
      </c>
      <c r="K22" s="82">
        <f t="shared" si="13"/>
        <v>1.0958412698412701</v>
      </c>
      <c r="L22" s="7"/>
      <c r="M22" s="2">
        <v>0.05</v>
      </c>
      <c r="N22" s="2">
        <v>6.5277777777777782E-2</v>
      </c>
      <c r="O22" s="83">
        <v>0.19652777777777777</v>
      </c>
      <c r="P22" s="45">
        <v>0.1986111111111111</v>
      </c>
      <c r="Q22" s="47">
        <v>3.4519000000000002</v>
      </c>
      <c r="R22" t="s">
        <v>44</v>
      </c>
      <c r="S22" t="s">
        <v>45</v>
      </c>
      <c r="T22" t="s">
        <v>45</v>
      </c>
      <c r="U22" t="s">
        <v>45</v>
      </c>
      <c r="V22" s="7"/>
      <c r="W22" s="13">
        <f t="shared" si="14"/>
        <v>22</v>
      </c>
      <c r="X22" s="13">
        <f t="shared" si="14"/>
        <v>188.99999999999997</v>
      </c>
      <c r="Y22" s="40">
        <f t="shared" si="15"/>
        <v>72</v>
      </c>
      <c r="Z22" s="4">
        <f t="shared" si="15"/>
        <v>64.000000000000014</v>
      </c>
      <c r="AA22" s="4">
        <f t="shared" si="1"/>
        <v>43.000000000000007</v>
      </c>
      <c r="AB22" s="4">
        <f t="shared" si="2"/>
        <v>50.999999999999972</v>
      </c>
      <c r="AC22" s="4">
        <f t="shared" si="3"/>
        <v>46</v>
      </c>
      <c r="AD22" s="13">
        <f t="shared" si="4"/>
        <v>3</v>
      </c>
      <c r="AE22" s="15">
        <f t="shared" si="5"/>
        <v>28.999999999999993</v>
      </c>
      <c r="AH22" s="18">
        <v>0</v>
      </c>
      <c r="AI22" s="19">
        <f t="shared" si="6"/>
        <v>30</v>
      </c>
      <c r="AJ22" s="19">
        <f t="shared" si="7"/>
        <v>240</v>
      </c>
      <c r="AK22" s="20">
        <f t="shared" si="16"/>
        <v>62</v>
      </c>
      <c r="AL22" s="19">
        <f t="shared" si="28"/>
        <v>62</v>
      </c>
      <c r="AM22" s="19">
        <f t="shared" si="18"/>
        <v>94.000000000000014</v>
      </c>
      <c r="AN22" s="19">
        <f t="shared" si="19"/>
        <v>94.000000000000014</v>
      </c>
      <c r="AO22" s="19">
        <f t="shared" si="29"/>
        <v>283</v>
      </c>
      <c r="AP22" s="19">
        <f t="shared" si="20"/>
        <v>191.5</v>
      </c>
      <c r="AQ22" s="19">
        <f t="shared" si="21"/>
        <v>286</v>
      </c>
      <c r="AR22" s="19">
        <f t="shared" si="22"/>
        <v>379</v>
      </c>
      <c r="AS22" s="47">
        <f t="shared" si="23"/>
        <v>-77.405000000000001</v>
      </c>
      <c r="AT22">
        <f>IF(R22="Yes",-225,NA())</f>
        <v>-225</v>
      </c>
      <c r="AU22" t="e">
        <f t="shared" si="25"/>
        <v>#N/A</v>
      </c>
      <c r="AV22" t="e">
        <f t="shared" si="25"/>
        <v>#N/A</v>
      </c>
      <c r="AW22" t="e">
        <f t="shared" si="25"/>
        <v>#N/A</v>
      </c>
      <c r="BB22" s="84"/>
      <c r="BC22" s="14"/>
      <c r="BD22" s="14"/>
    </row>
    <row r="23" spans="1:56">
      <c r="A23" s="30">
        <f t="shared" si="0"/>
        <v>45830</v>
      </c>
      <c r="B23" s="31">
        <v>45830</v>
      </c>
      <c r="C23" s="32" t="s">
        <v>156</v>
      </c>
      <c r="D23" s="33">
        <v>0</v>
      </c>
      <c r="E23" s="35">
        <f t="shared" si="10"/>
        <v>2.0833333333333332E-2</v>
      </c>
      <c r="F23" s="34">
        <v>30</v>
      </c>
      <c r="G23" s="33">
        <v>0.16666666666666666</v>
      </c>
      <c r="H23" s="36">
        <f t="shared" si="11"/>
        <v>210</v>
      </c>
      <c r="I23" s="37">
        <f t="shared" si="12"/>
        <v>0.15763888888888888</v>
      </c>
      <c r="J23" s="4">
        <v>5</v>
      </c>
      <c r="K23" s="82">
        <f t="shared" si="13"/>
        <v>1.3217806451612903</v>
      </c>
      <c r="L23" s="7"/>
      <c r="M23" s="2">
        <v>3.1944444444444442E-2</v>
      </c>
      <c r="N23" s="2">
        <v>4.6527777777777779E-2</v>
      </c>
      <c r="O23" s="83">
        <v>0.15416666666666667</v>
      </c>
      <c r="P23" s="45">
        <v>0.15625</v>
      </c>
      <c r="Q23" s="47">
        <v>3.4146000000000001</v>
      </c>
      <c r="R23" t="s">
        <v>44</v>
      </c>
      <c r="S23" t="s">
        <v>45</v>
      </c>
      <c r="T23" t="s">
        <v>45</v>
      </c>
      <c r="U23" t="s">
        <v>45</v>
      </c>
      <c r="V23" s="7"/>
      <c r="W23" s="13">
        <f t="shared" si="14"/>
        <v>21.000000000000007</v>
      </c>
      <c r="X23" s="13">
        <f t="shared" si="14"/>
        <v>155</v>
      </c>
      <c r="Y23" s="40">
        <f t="shared" si="15"/>
        <v>46</v>
      </c>
      <c r="Z23" s="4">
        <f t="shared" si="15"/>
        <v>37</v>
      </c>
      <c r="AA23" s="4">
        <f t="shared" si="1"/>
        <v>-17.999999999999975</v>
      </c>
      <c r="AB23" s="4">
        <f t="shared" si="2"/>
        <v>-9</v>
      </c>
      <c r="AC23" s="4">
        <f t="shared" si="3"/>
        <v>-14.999999999999986</v>
      </c>
      <c r="AD23" s="13">
        <f t="shared" si="4"/>
        <v>3</v>
      </c>
      <c r="AE23" s="15">
        <f t="shared" si="5"/>
        <v>63.999999999999972</v>
      </c>
      <c r="AH23" s="18">
        <v>0</v>
      </c>
      <c r="AI23" s="19">
        <f t="shared" si="6"/>
        <v>30</v>
      </c>
      <c r="AJ23" s="19">
        <f t="shared" si="7"/>
        <v>240</v>
      </c>
      <c r="AK23" s="20">
        <f t="shared" si="16"/>
        <v>36</v>
      </c>
      <c r="AL23" s="19">
        <f t="shared" si="28"/>
        <v>36</v>
      </c>
      <c r="AM23" s="19">
        <f t="shared" si="18"/>
        <v>67</v>
      </c>
      <c r="AN23" s="19">
        <f t="shared" si="19"/>
        <v>67</v>
      </c>
      <c r="AO23" s="19">
        <f t="shared" si="29"/>
        <v>222</v>
      </c>
      <c r="AP23" s="19">
        <f t="shared" si="20"/>
        <v>161</v>
      </c>
      <c r="AQ23" s="19">
        <f t="shared" si="21"/>
        <v>225</v>
      </c>
      <c r="AR23" s="19">
        <f t="shared" si="22"/>
        <v>414</v>
      </c>
      <c r="AS23" s="47">
        <f t="shared" si="23"/>
        <v>-79.269999999999982</v>
      </c>
      <c r="AT23">
        <f>IF(R23="Yes",-225,NA())</f>
        <v>-225</v>
      </c>
      <c r="AU23" t="e">
        <f t="shared" si="25"/>
        <v>#N/A</v>
      </c>
      <c r="AV23" t="e">
        <f t="shared" si="25"/>
        <v>#N/A</v>
      </c>
      <c r="AW23" t="e">
        <f t="shared" si="25"/>
        <v>#N/A</v>
      </c>
      <c r="BB23" s="84"/>
      <c r="BC23" s="14"/>
      <c r="BD23" s="14"/>
    </row>
    <row r="24" spans="1:56">
      <c r="A24" s="30">
        <f t="shared" si="0"/>
        <v>45831</v>
      </c>
      <c r="B24" s="31">
        <v>45831</v>
      </c>
      <c r="C24" s="32" t="s">
        <v>156</v>
      </c>
      <c r="D24" s="33">
        <v>0</v>
      </c>
      <c r="E24" s="35">
        <f t="shared" si="10"/>
        <v>2.0833333333333332E-2</v>
      </c>
      <c r="F24" s="34">
        <v>30</v>
      </c>
      <c r="G24" s="33">
        <v>0.16666666666666666</v>
      </c>
      <c r="H24" s="36">
        <f t="shared" si="11"/>
        <v>210</v>
      </c>
      <c r="I24" s="37">
        <f t="shared" si="12"/>
        <v>0.1673611111111111</v>
      </c>
      <c r="J24" s="4">
        <v>5</v>
      </c>
      <c r="K24" s="82">
        <f t="shared" si="13"/>
        <v>1.4022448979591837</v>
      </c>
      <c r="L24" s="7"/>
      <c r="M24" s="2">
        <v>0.05</v>
      </c>
      <c r="N24" s="2">
        <v>6.1805555555555558E-2</v>
      </c>
      <c r="O24" s="83">
        <v>0.16388888888888889</v>
      </c>
      <c r="P24" s="45">
        <v>0.16597222222222222</v>
      </c>
      <c r="Q24" s="47">
        <v>3.4355000000000002</v>
      </c>
      <c r="R24" t="s">
        <v>44</v>
      </c>
      <c r="S24" t="s">
        <v>45</v>
      </c>
      <c r="T24" t="s">
        <v>45</v>
      </c>
      <c r="U24" t="s">
        <v>45</v>
      </c>
      <c r="V24" s="7"/>
      <c r="W24" s="13">
        <f t="shared" si="14"/>
        <v>17</v>
      </c>
      <c r="X24" s="13">
        <f t="shared" si="14"/>
        <v>147</v>
      </c>
      <c r="Y24" s="40">
        <f t="shared" si="15"/>
        <v>72</v>
      </c>
      <c r="Z24" s="4">
        <f t="shared" si="15"/>
        <v>59.000000000000007</v>
      </c>
      <c r="AA24" s="4">
        <f t="shared" si="1"/>
        <v>-3.9999999999999858</v>
      </c>
      <c r="AB24" s="4">
        <f t="shared" si="2"/>
        <v>9</v>
      </c>
      <c r="AC24" s="4">
        <f t="shared" si="3"/>
        <v>-0.99999999999999645</v>
      </c>
      <c r="AD24" s="13">
        <f t="shared" si="4"/>
        <v>3</v>
      </c>
      <c r="AE24" s="15">
        <f t="shared" si="5"/>
        <v>75.999999999999986</v>
      </c>
      <c r="AH24" s="18">
        <v>0</v>
      </c>
      <c r="AI24" s="19">
        <f t="shared" si="6"/>
        <v>30</v>
      </c>
      <c r="AJ24" s="19">
        <f t="shared" si="7"/>
        <v>240</v>
      </c>
      <c r="AK24" s="20">
        <f t="shared" si="16"/>
        <v>62</v>
      </c>
      <c r="AL24" s="19">
        <f t="shared" si="28"/>
        <v>62</v>
      </c>
      <c r="AM24" s="19">
        <f t="shared" si="18"/>
        <v>89</v>
      </c>
      <c r="AN24" s="19">
        <f t="shared" si="19"/>
        <v>89</v>
      </c>
      <c r="AO24" s="19">
        <f t="shared" si="29"/>
        <v>236</v>
      </c>
      <c r="AP24" s="19">
        <f t="shared" si="20"/>
        <v>168</v>
      </c>
      <c r="AQ24" s="19">
        <f t="shared" si="21"/>
        <v>239</v>
      </c>
      <c r="AR24" s="19">
        <f t="shared" si="22"/>
        <v>426</v>
      </c>
      <c r="AS24" s="47">
        <f t="shared" si="23"/>
        <v>-78.224999999999994</v>
      </c>
      <c r="AT24">
        <f t="shared" ref="AT24:AT25" si="30">IF(R24="Yes",-225,NA())</f>
        <v>-225</v>
      </c>
      <c r="AU24" t="e">
        <f t="shared" si="25"/>
        <v>#N/A</v>
      </c>
      <c r="AV24" t="e">
        <f t="shared" si="25"/>
        <v>#N/A</v>
      </c>
      <c r="AW24" t="e">
        <f t="shared" si="25"/>
        <v>#N/A</v>
      </c>
      <c r="BB24" s="84"/>
      <c r="BC24" s="14"/>
      <c r="BD24" s="14"/>
    </row>
    <row r="25" spans="1:56">
      <c r="A25" s="30">
        <f t="shared" si="0"/>
        <v>45832</v>
      </c>
      <c r="B25" s="31">
        <v>45832</v>
      </c>
      <c r="C25" s="32" t="s">
        <v>156</v>
      </c>
      <c r="D25" s="33">
        <v>0</v>
      </c>
      <c r="E25" s="35">
        <f t="shared" si="10"/>
        <v>2.0833333333333332E-2</v>
      </c>
      <c r="F25" s="34">
        <v>30</v>
      </c>
      <c r="G25" s="33">
        <v>0.16666666666666666</v>
      </c>
      <c r="H25" s="36">
        <f t="shared" si="11"/>
        <v>210</v>
      </c>
      <c r="I25" s="37">
        <f t="shared" si="12"/>
        <v>0.16319444444444442</v>
      </c>
      <c r="J25" s="4">
        <v>5</v>
      </c>
      <c r="K25" s="82">
        <f t="shared" si="13"/>
        <v>1.4286250000000003</v>
      </c>
      <c r="L25" s="7"/>
      <c r="M25" s="2">
        <v>0.05</v>
      </c>
      <c r="N25" s="2">
        <v>5.9722222222222225E-2</v>
      </c>
      <c r="O25" s="83">
        <v>0.15972222222222221</v>
      </c>
      <c r="P25" s="45">
        <v>0.16180555555555556</v>
      </c>
      <c r="Q25" s="47">
        <v>3.4287000000000001</v>
      </c>
      <c r="R25" t="s">
        <v>45</v>
      </c>
      <c r="S25" t="s">
        <v>44</v>
      </c>
      <c r="T25" t="s">
        <v>45</v>
      </c>
      <c r="U25" t="s">
        <v>45</v>
      </c>
      <c r="V25" s="7"/>
      <c r="W25" s="13">
        <f t="shared" si="14"/>
        <v>14</v>
      </c>
      <c r="X25" s="13">
        <f t="shared" si="14"/>
        <v>143.99999999999997</v>
      </c>
      <c r="Y25" s="40">
        <f t="shared" si="15"/>
        <v>72</v>
      </c>
      <c r="Z25" s="4">
        <f t="shared" si="15"/>
        <v>56</v>
      </c>
      <c r="AA25" s="4">
        <f t="shared" si="1"/>
        <v>-10.000000000000004</v>
      </c>
      <c r="AB25" s="4">
        <f t="shared" si="2"/>
        <v>5.9999999999999716</v>
      </c>
      <c r="AC25" s="4">
        <f t="shared" si="3"/>
        <v>-6.9999999999999751</v>
      </c>
      <c r="AD25" s="13">
        <f t="shared" si="4"/>
        <v>3</v>
      </c>
      <c r="AE25" s="15">
        <f t="shared" si="5"/>
        <v>82</v>
      </c>
      <c r="AH25" s="18">
        <v>0</v>
      </c>
      <c r="AI25" s="19">
        <f t="shared" si="6"/>
        <v>30</v>
      </c>
      <c r="AJ25" s="19">
        <f t="shared" si="7"/>
        <v>240</v>
      </c>
      <c r="AK25" s="20">
        <f t="shared" si="16"/>
        <v>62</v>
      </c>
      <c r="AL25" s="19">
        <f t="shared" si="28"/>
        <v>62</v>
      </c>
      <c r="AM25" s="19">
        <f t="shared" si="18"/>
        <v>86</v>
      </c>
      <c r="AN25" s="19">
        <f t="shared" si="19"/>
        <v>86</v>
      </c>
      <c r="AO25" s="19">
        <f t="shared" si="29"/>
        <v>229.99999999999997</v>
      </c>
      <c r="AP25" s="19">
        <f t="shared" si="20"/>
        <v>165</v>
      </c>
      <c r="AQ25" s="19">
        <f t="shared" si="21"/>
        <v>232.99999999999997</v>
      </c>
      <c r="AR25" s="19">
        <f t="shared" si="22"/>
        <v>432</v>
      </c>
      <c r="AS25" s="47">
        <f t="shared" si="23"/>
        <v>-78.564999999999998</v>
      </c>
      <c r="AT25" t="e">
        <f t="shared" si="30"/>
        <v>#N/A</v>
      </c>
      <c r="AU25">
        <f t="shared" si="25"/>
        <v>-210</v>
      </c>
      <c r="AV25" t="e">
        <f t="shared" si="25"/>
        <v>#N/A</v>
      </c>
      <c r="AW25" t="e">
        <f t="shared" si="25"/>
        <v>#N/A</v>
      </c>
      <c r="BB25" s="84"/>
      <c r="BC25" s="14"/>
      <c r="BD25" s="14"/>
    </row>
    <row r="26" spans="1:56">
      <c r="A26" s="30">
        <f t="shared" si="0"/>
        <v>45833</v>
      </c>
      <c r="B26" s="31">
        <v>45833</v>
      </c>
      <c r="C26" s="32" t="s">
        <v>156</v>
      </c>
      <c r="D26" s="33">
        <v>0</v>
      </c>
      <c r="E26" s="35">
        <f t="shared" si="10"/>
        <v>2.0833333333333332E-2</v>
      </c>
      <c r="F26" s="34">
        <v>30</v>
      </c>
      <c r="G26" s="33">
        <v>0.16666666666666666</v>
      </c>
      <c r="H26" s="36">
        <f t="shared" si="11"/>
        <v>210</v>
      </c>
      <c r="I26" s="37">
        <f t="shared" si="12"/>
        <v>0.17499999999999999</v>
      </c>
      <c r="J26" s="4">
        <v>5</v>
      </c>
      <c r="K26" s="82">
        <f t="shared" si="13"/>
        <v>1.2682222222222221</v>
      </c>
      <c r="L26" s="7"/>
      <c r="M26" s="2">
        <v>2.5694444444444443E-2</v>
      </c>
      <c r="N26" s="2">
        <v>5.9027777777777776E-2</v>
      </c>
      <c r="O26" s="83">
        <v>0.17152777777777778</v>
      </c>
      <c r="P26" s="45">
        <v>0.1736111111111111</v>
      </c>
      <c r="Q26" s="47">
        <v>3.4241999999999999</v>
      </c>
      <c r="R26" t="s">
        <v>45</v>
      </c>
      <c r="S26" t="s">
        <v>44</v>
      </c>
      <c r="T26" t="s">
        <v>45</v>
      </c>
      <c r="U26" t="s">
        <v>45</v>
      </c>
      <c r="V26" s="7"/>
      <c r="W26" s="13">
        <f t="shared" si="14"/>
        <v>48</v>
      </c>
      <c r="X26" s="13">
        <f t="shared" si="14"/>
        <v>162</v>
      </c>
      <c r="Y26" s="40">
        <f t="shared" si="15"/>
        <v>37</v>
      </c>
      <c r="Z26" s="4">
        <f t="shared" si="15"/>
        <v>55.000000000000007</v>
      </c>
      <c r="AA26" s="4">
        <f t="shared" si="1"/>
        <v>7.0000000000000151</v>
      </c>
      <c r="AB26" s="4">
        <f t="shared" si="2"/>
        <v>-11</v>
      </c>
      <c r="AC26" s="4">
        <f t="shared" si="3"/>
        <v>10.000000000000004</v>
      </c>
      <c r="AD26" s="13">
        <f t="shared" si="4"/>
        <v>3</v>
      </c>
      <c r="AE26" s="15">
        <f t="shared" si="5"/>
        <v>29.999999999999986</v>
      </c>
      <c r="AH26" s="18">
        <v>0</v>
      </c>
      <c r="AI26" s="19">
        <f t="shared" si="6"/>
        <v>30</v>
      </c>
      <c r="AJ26" s="19">
        <f t="shared" si="7"/>
        <v>240</v>
      </c>
      <c r="AK26" s="20">
        <f t="shared" si="16"/>
        <v>27</v>
      </c>
      <c r="AL26" s="19">
        <f t="shared" si="28"/>
        <v>27</v>
      </c>
      <c r="AM26" s="19">
        <f t="shared" si="18"/>
        <v>85</v>
      </c>
      <c r="AN26" s="19">
        <f t="shared" si="19"/>
        <v>85</v>
      </c>
      <c r="AO26" s="19">
        <f t="shared" si="29"/>
        <v>247</v>
      </c>
      <c r="AP26" s="19">
        <f t="shared" si="20"/>
        <v>173.5</v>
      </c>
      <c r="AQ26" s="19">
        <f t="shared" si="21"/>
        <v>250</v>
      </c>
      <c r="AR26" s="19">
        <f t="shared" si="22"/>
        <v>380</v>
      </c>
      <c r="AS26" s="47">
        <f t="shared" si="23"/>
        <v>-78.789999999999992</v>
      </c>
      <c r="AT26" t="e">
        <f>IF(R26="Yes",-225,NA())</f>
        <v>#N/A</v>
      </c>
      <c r="AU26">
        <f t="shared" si="25"/>
        <v>-210</v>
      </c>
      <c r="AV26" t="e">
        <f t="shared" si="25"/>
        <v>#N/A</v>
      </c>
      <c r="AW26" t="e">
        <f t="shared" si="25"/>
        <v>#N/A</v>
      </c>
      <c r="BB26" s="84"/>
      <c r="BC26" s="14"/>
      <c r="BD26" s="14"/>
    </row>
    <row r="27" spans="1:56">
      <c r="A27" s="30">
        <f t="shared" si="0"/>
        <v>45834</v>
      </c>
      <c r="B27" s="31">
        <v>45834</v>
      </c>
      <c r="C27" s="32" t="s">
        <v>156</v>
      </c>
      <c r="D27" s="33">
        <v>0</v>
      </c>
      <c r="E27" s="35">
        <f t="shared" si="10"/>
        <v>2.0833333333333332E-2</v>
      </c>
      <c r="F27" s="34">
        <v>30</v>
      </c>
      <c r="G27" s="33">
        <v>0.16666666666666666</v>
      </c>
      <c r="H27" s="36">
        <f t="shared" si="11"/>
        <v>210</v>
      </c>
      <c r="I27" s="37">
        <f t="shared" si="12"/>
        <v>0.16944444444444443</v>
      </c>
      <c r="J27" s="4">
        <v>5</v>
      </c>
      <c r="K27" s="82">
        <f t="shared" si="13"/>
        <v>1.3045063291139241</v>
      </c>
      <c r="L27" s="7"/>
      <c r="M27" s="2">
        <v>4.0972222222222222E-2</v>
      </c>
      <c r="N27" s="2">
        <v>5.6250000000000001E-2</v>
      </c>
      <c r="O27" s="83">
        <v>0.16597222222222222</v>
      </c>
      <c r="P27" s="45">
        <v>0.16805555555555557</v>
      </c>
      <c r="Q27" s="47">
        <v>3.4352</v>
      </c>
      <c r="R27" t="s">
        <v>44</v>
      </c>
      <c r="S27" t="s">
        <v>45</v>
      </c>
      <c r="T27" t="s">
        <v>45</v>
      </c>
      <c r="U27" t="s">
        <v>45</v>
      </c>
      <c r="V27" s="7"/>
      <c r="W27" s="13">
        <f t="shared" si="14"/>
        <v>22</v>
      </c>
      <c r="X27" s="13">
        <f t="shared" si="14"/>
        <v>158</v>
      </c>
      <c r="Y27" s="40">
        <f t="shared" si="15"/>
        <v>59</v>
      </c>
      <c r="Z27" s="4">
        <f t="shared" si="15"/>
        <v>51</v>
      </c>
      <c r="AA27" s="4">
        <f t="shared" si="1"/>
        <v>-0.99999999999999645</v>
      </c>
      <c r="AB27" s="4">
        <f t="shared" si="2"/>
        <v>7</v>
      </c>
      <c r="AC27" s="4">
        <f t="shared" si="3"/>
        <v>2.0000000000000329</v>
      </c>
      <c r="AD27" s="13">
        <f t="shared" si="4"/>
        <v>3</v>
      </c>
      <c r="AE27" s="15">
        <f t="shared" si="5"/>
        <v>60</v>
      </c>
      <c r="AH27" s="18">
        <v>0</v>
      </c>
      <c r="AI27" s="19">
        <f t="shared" si="6"/>
        <v>30</v>
      </c>
      <c r="AJ27" s="19">
        <f t="shared" si="7"/>
        <v>240</v>
      </c>
      <c r="AK27" s="20">
        <f t="shared" si="16"/>
        <v>49</v>
      </c>
      <c r="AL27" s="19">
        <f t="shared" si="28"/>
        <v>49</v>
      </c>
      <c r="AM27" s="19">
        <f t="shared" si="18"/>
        <v>81</v>
      </c>
      <c r="AN27" s="19">
        <f t="shared" si="19"/>
        <v>81</v>
      </c>
      <c r="AO27" s="19">
        <f t="shared" si="29"/>
        <v>239</v>
      </c>
      <c r="AP27" s="19">
        <f t="shared" si="20"/>
        <v>169.5</v>
      </c>
      <c r="AQ27" s="19">
        <f t="shared" si="21"/>
        <v>242</v>
      </c>
      <c r="AR27" s="19">
        <f t="shared" si="22"/>
        <v>410</v>
      </c>
      <c r="AS27" s="47">
        <f t="shared" si="23"/>
        <v>-78.240000000000009</v>
      </c>
      <c r="AT27">
        <f t="shared" ref="AT27:AT29" si="31">IF(R27="Yes",-225,NA())</f>
        <v>-225</v>
      </c>
      <c r="AU27" t="e">
        <f t="shared" si="25"/>
        <v>#N/A</v>
      </c>
      <c r="AV27" t="e">
        <f t="shared" si="25"/>
        <v>#N/A</v>
      </c>
      <c r="AW27" t="e">
        <f t="shared" si="25"/>
        <v>#N/A</v>
      </c>
      <c r="BB27" s="84"/>
      <c r="BC27" s="14"/>
      <c r="BD27" s="14"/>
    </row>
    <row r="28" spans="1:56">
      <c r="A28" s="30">
        <f t="shared" si="0"/>
        <v>45835</v>
      </c>
      <c r="B28" s="31">
        <v>45835</v>
      </c>
      <c r="C28" s="32" t="s">
        <v>156</v>
      </c>
      <c r="D28" s="33">
        <v>0</v>
      </c>
      <c r="E28" s="35">
        <f t="shared" si="10"/>
        <v>2.0833333333333332E-2</v>
      </c>
      <c r="F28" s="34">
        <v>30</v>
      </c>
      <c r="G28" s="33">
        <v>0.16666666666666666</v>
      </c>
      <c r="H28" s="36">
        <f t="shared" si="11"/>
        <v>210</v>
      </c>
      <c r="I28" s="37">
        <f t="shared" si="12"/>
        <v>0.15069444444444444</v>
      </c>
      <c r="J28" s="4">
        <v>5</v>
      </c>
      <c r="K28" s="82">
        <f t="shared" si="13"/>
        <v>1.3479607843137253</v>
      </c>
      <c r="L28" s="7"/>
      <c r="M28" s="2">
        <v>2.7777777777777776E-2</v>
      </c>
      <c r="N28" s="2">
        <v>4.0972222222222222E-2</v>
      </c>
      <c r="O28" s="83">
        <v>0.14722222222222223</v>
      </c>
      <c r="P28" s="45">
        <v>0.15</v>
      </c>
      <c r="Q28" s="47">
        <v>3.4373</v>
      </c>
      <c r="R28" t="s">
        <v>44</v>
      </c>
      <c r="S28" t="s">
        <v>44</v>
      </c>
      <c r="T28" t="s">
        <v>45</v>
      </c>
      <c r="U28" t="s">
        <v>45</v>
      </c>
      <c r="V28" s="7"/>
      <c r="W28" s="13">
        <f t="shared" si="14"/>
        <v>19.000000000000004</v>
      </c>
      <c r="X28" s="13">
        <f t="shared" si="14"/>
        <v>153.00000000000003</v>
      </c>
      <c r="Y28" s="40">
        <f t="shared" si="15"/>
        <v>40</v>
      </c>
      <c r="Z28" s="4">
        <f t="shared" si="15"/>
        <v>29.000000000000004</v>
      </c>
      <c r="AA28" s="4">
        <f t="shared" si="1"/>
        <v>-27.999999999999979</v>
      </c>
      <c r="AB28" s="4">
        <f t="shared" si="2"/>
        <v>-16.999999999999972</v>
      </c>
      <c r="AC28" s="4">
        <f t="shared" si="3"/>
        <v>-23.999999999999993</v>
      </c>
      <c r="AD28" s="13">
        <f t="shared" si="4"/>
        <v>4</v>
      </c>
      <c r="AE28" s="15">
        <f t="shared" si="5"/>
        <v>67.999999999999972</v>
      </c>
      <c r="AH28" s="18">
        <v>0</v>
      </c>
      <c r="AI28" s="19">
        <f t="shared" si="6"/>
        <v>30</v>
      </c>
      <c r="AJ28" s="19">
        <f t="shared" si="7"/>
        <v>240</v>
      </c>
      <c r="AK28" s="20">
        <f t="shared" si="16"/>
        <v>30</v>
      </c>
      <c r="AL28" s="19">
        <f t="shared" si="28"/>
        <v>30</v>
      </c>
      <c r="AM28" s="19">
        <f t="shared" si="18"/>
        <v>59</v>
      </c>
      <c r="AN28" s="19">
        <f t="shared" si="19"/>
        <v>59</v>
      </c>
      <c r="AO28" s="19">
        <f t="shared" si="29"/>
        <v>212.00000000000003</v>
      </c>
      <c r="AP28" s="19">
        <f t="shared" si="20"/>
        <v>156</v>
      </c>
      <c r="AQ28" s="19">
        <f t="shared" si="21"/>
        <v>216.00000000000003</v>
      </c>
      <c r="AR28" s="19">
        <f t="shared" si="22"/>
        <v>418</v>
      </c>
      <c r="AS28" s="47">
        <f t="shared" si="23"/>
        <v>-78.134999999999991</v>
      </c>
      <c r="AT28">
        <f t="shared" si="31"/>
        <v>-225</v>
      </c>
      <c r="AU28">
        <f t="shared" si="25"/>
        <v>-210</v>
      </c>
      <c r="AV28" t="e">
        <f t="shared" si="25"/>
        <v>#N/A</v>
      </c>
      <c r="AW28" t="e">
        <f t="shared" si="25"/>
        <v>#N/A</v>
      </c>
      <c r="BB28" s="84"/>
      <c r="BC28" s="14"/>
      <c r="BD28" s="14"/>
    </row>
    <row r="29" spans="1:56">
      <c r="A29" s="30">
        <f t="shared" si="0"/>
        <v>45836</v>
      </c>
      <c r="B29" s="31">
        <v>45836</v>
      </c>
      <c r="C29" s="32" t="s">
        <v>156</v>
      </c>
      <c r="D29" s="33">
        <v>0</v>
      </c>
      <c r="E29" s="35">
        <f t="shared" si="10"/>
        <v>2.0833333333333332E-2</v>
      </c>
      <c r="F29" s="34">
        <v>30</v>
      </c>
      <c r="G29" s="33">
        <v>0.16666666666666666</v>
      </c>
      <c r="H29" s="36">
        <f t="shared" si="11"/>
        <v>210</v>
      </c>
      <c r="I29" s="37">
        <f t="shared" si="12"/>
        <v>0.16111111111111109</v>
      </c>
      <c r="J29" s="4">
        <v>5</v>
      </c>
      <c r="K29" s="82">
        <f t="shared" si="13"/>
        <v>1.1164225352112676</v>
      </c>
      <c r="L29" s="7"/>
      <c r="M29" s="2">
        <v>4.0972222222222222E-2</v>
      </c>
      <c r="N29" s="2">
        <v>5.9027777777777776E-2</v>
      </c>
      <c r="O29" s="83">
        <v>0.15763888888888888</v>
      </c>
      <c r="P29" s="45">
        <v>0.16041666666666668</v>
      </c>
      <c r="Q29" s="47">
        <v>2.6421999999999999</v>
      </c>
      <c r="R29" t="s">
        <v>44</v>
      </c>
      <c r="S29" t="s">
        <v>45</v>
      </c>
      <c r="T29" t="s">
        <v>45</v>
      </c>
      <c r="U29" t="s">
        <v>45</v>
      </c>
      <c r="V29" s="7"/>
      <c r="W29" s="13">
        <f t="shared" si="14"/>
        <v>25.999999999999996</v>
      </c>
      <c r="X29" s="13">
        <f t="shared" si="14"/>
        <v>142</v>
      </c>
      <c r="Y29" s="40">
        <f t="shared" si="15"/>
        <v>59</v>
      </c>
      <c r="Z29" s="4">
        <f t="shared" si="15"/>
        <v>55.000000000000007</v>
      </c>
      <c r="AA29" s="4">
        <f t="shared" si="1"/>
        <v>-12.999999999999993</v>
      </c>
      <c r="AB29" s="4">
        <f t="shared" si="2"/>
        <v>-9</v>
      </c>
      <c r="AC29" s="4">
        <f t="shared" si="3"/>
        <v>-8.999999999999968</v>
      </c>
      <c r="AD29" s="13">
        <f t="shared" si="4"/>
        <v>4</v>
      </c>
      <c r="AE29" s="15">
        <f t="shared" si="5"/>
        <v>72</v>
      </c>
      <c r="AH29" s="18">
        <v>0</v>
      </c>
      <c r="AI29" s="19">
        <f t="shared" si="6"/>
        <v>30</v>
      </c>
      <c r="AJ29" s="19">
        <f t="shared" si="7"/>
        <v>240</v>
      </c>
      <c r="AK29" s="20">
        <f t="shared" si="16"/>
        <v>49</v>
      </c>
      <c r="AL29" s="19">
        <f t="shared" si="28"/>
        <v>49</v>
      </c>
      <c r="AM29" s="19">
        <f t="shared" si="18"/>
        <v>85</v>
      </c>
      <c r="AN29" s="19">
        <f t="shared" si="19"/>
        <v>85</v>
      </c>
      <c r="AO29" s="19">
        <f t="shared" si="29"/>
        <v>227</v>
      </c>
      <c r="AP29" s="19">
        <f t="shared" si="20"/>
        <v>163.5</v>
      </c>
      <c r="AQ29" s="19">
        <f t="shared" si="21"/>
        <v>231</v>
      </c>
      <c r="AR29" s="19">
        <f t="shared" si="22"/>
        <v>422</v>
      </c>
      <c r="AS29" s="47">
        <f t="shared" si="23"/>
        <v>-117.89000000000001</v>
      </c>
      <c r="AT29">
        <f t="shared" si="31"/>
        <v>-225</v>
      </c>
      <c r="AU29" t="e">
        <f t="shared" si="25"/>
        <v>#N/A</v>
      </c>
      <c r="AV29" t="e">
        <f t="shared" si="25"/>
        <v>#N/A</v>
      </c>
      <c r="AW29" t="e">
        <f t="shared" si="25"/>
        <v>#N/A</v>
      </c>
      <c r="BB29" s="84"/>
      <c r="BC29" s="14"/>
      <c r="BD29" s="14"/>
    </row>
    <row r="30" spans="1:56">
      <c r="A30" s="30">
        <f t="shared" si="0"/>
        <v>45837</v>
      </c>
      <c r="B30" s="31">
        <v>45837</v>
      </c>
      <c r="C30" s="32" t="s">
        <v>156</v>
      </c>
      <c r="D30" s="33">
        <v>0</v>
      </c>
      <c r="E30" s="35">
        <f t="shared" si="10"/>
        <v>2.0833333333333332E-2</v>
      </c>
      <c r="F30" s="34">
        <v>30</v>
      </c>
      <c r="G30" s="33">
        <v>0.16666666666666666</v>
      </c>
      <c r="H30" s="36">
        <f t="shared" si="11"/>
        <v>210</v>
      </c>
      <c r="I30" s="37">
        <f t="shared" si="12"/>
        <v>0.16944444444444443</v>
      </c>
      <c r="J30" s="4">
        <v>5</v>
      </c>
      <c r="K30" s="82">
        <f t="shared" si="13"/>
        <v>1.4111586206896554</v>
      </c>
      <c r="L30" s="7"/>
      <c r="M30" s="2">
        <v>5.7638888888888892E-2</v>
      </c>
      <c r="N30" s="2">
        <v>6.5277777777777782E-2</v>
      </c>
      <c r="O30" s="2">
        <v>0.16597222222222222</v>
      </c>
      <c r="P30" s="2">
        <v>0.16875000000000001</v>
      </c>
      <c r="Q30" s="47">
        <v>3.4102999999999999</v>
      </c>
      <c r="R30" t="s">
        <v>45</v>
      </c>
      <c r="S30" t="s">
        <v>45</v>
      </c>
      <c r="T30" t="s">
        <v>45</v>
      </c>
      <c r="U30" t="s">
        <v>45</v>
      </c>
      <c r="V30" s="7"/>
      <c r="W30" s="13">
        <f t="shared" si="14"/>
        <v>11</v>
      </c>
      <c r="X30" s="13">
        <f t="shared" si="14"/>
        <v>144.99999999999997</v>
      </c>
      <c r="Y30" s="40">
        <f t="shared" si="15"/>
        <v>83</v>
      </c>
      <c r="Z30" s="4">
        <f t="shared" si="15"/>
        <v>64.000000000000014</v>
      </c>
      <c r="AA30" s="4">
        <f t="shared" si="1"/>
        <v>-0.99999999999999645</v>
      </c>
      <c r="AB30" s="4">
        <f t="shared" si="2"/>
        <v>17.999999999999972</v>
      </c>
      <c r="AC30" s="4">
        <f t="shared" si="3"/>
        <v>3.0000000000000293</v>
      </c>
      <c r="AD30" s="13">
        <f t="shared" si="4"/>
        <v>4</v>
      </c>
      <c r="AE30" s="15">
        <f t="shared" si="5"/>
        <v>84</v>
      </c>
      <c r="AH30" s="18">
        <v>0</v>
      </c>
      <c r="AI30" s="19">
        <f t="shared" si="6"/>
        <v>30</v>
      </c>
      <c r="AJ30" s="19">
        <f t="shared" si="7"/>
        <v>240</v>
      </c>
      <c r="AK30" s="20">
        <f t="shared" si="16"/>
        <v>73</v>
      </c>
      <c r="AL30" s="19">
        <f t="shared" si="28"/>
        <v>73</v>
      </c>
      <c r="AM30" s="19">
        <f t="shared" si="18"/>
        <v>94.000000000000014</v>
      </c>
      <c r="AN30" s="19">
        <f t="shared" si="19"/>
        <v>94.000000000000014</v>
      </c>
      <c r="AO30" s="19">
        <f t="shared" si="29"/>
        <v>239</v>
      </c>
      <c r="AP30" s="19">
        <f t="shared" si="20"/>
        <v>169.5</v>
      </c>
      <c r="AQ30" s="19">
        <f t="shared" si="21"/>
        <v>243</v>
      </c>
      <c r="AR30" s="19">
        <f t="shared" si="22"/>
        <v>434</v>
      </c>
      <c r="AS30" s="47">
        <f t="shared" si="23"/>
        <v>-79.485000000000014</v>
      </c>
      <c r="AT30" t="e">
        <f>IF(R30="Yes",-225,NA())</f>
        <v>#N/A</v>
      </c>
      <c r="AU30" t="e">
        <f t="shared" si="25"/>
        <v>#N/A</v>
      </c>
      <c r="AV30" t="e">
        <f t="shared" si="25"/>
        <v>#N/A</v>
      </c>
      <c r="AW30" t="e">
        <f t="shared" si="25"/>
        <v>#N/A</v>
      </c>
      <c r="BB30" s="84"/>
      <c r="BC30" s="14"/>
      <c r="BD30" s="14"/>
    </row>
    <row r="31" spans="1:56">
      <c r="A31" s="30">
        <f t="shared" si="0"/>
        <v>45838</v>
      </c>
      <c r="B31" s="31">
        <v>45838</v>
      </c>
      <c r="C31" s="32" t="s">
        <v>156</v>
      </c>
      <c r="D31" s="33">
        <v>0</v>
      </c>
      <c r="E31" s="35">
        <f t="shared" si="10"/>
        <v>2.0833333333333332E-2</v>
      </c>
      <c r="F31" s="34">
        <v>30</v>
      </c>
      <c r="G31" s="33">
        <v>0.16666666666666666</v>
      </c>
      <c r="H31" s="36">
        <f t="shared" si="11"/>
        <v>210</v>
      </c>
      <c r="I31" s="37">
        <f t="shared" si="12"/>
        <v>0.15902777777777777</v>
      </c>
      <c r="J31" s="4">
        <v>5</v>
      </c>
      <c r="K31" s="82">
        <f t="shared" si="13"/>
        <v>1.4720999999999997</v>
      </c>
      <c r="L31" s="7"/>
      <c r="M31" s="2">
        <v>4.5138888888888888E-2</v>
      </c>
      <c r="N31" s="2">
        <v>5.8333333333333334E-2</v>
      </c>
      <c r="O31" s="2">
        <v>0.15555555555555556</v>
      </c>
      <c r="P31" s="2">
        <v>0.15763888888888888</v>
      </c>
      <c r="Q31" s="47">
        <v>3.4348999999999998</v>
      </c>
      <c r="R31" t="s">
        <v>45</v>
      </c>
      <c r="S31" t="s">
        <v>45</v>
      </c>
      <c r="T31" t="s">
        <v>45</v>
      </c>
      <c r="U31" t="s">
        <v>45</v>
      </c>
      <c r="V31" s="7"/>
      <c r="W31" s="13">
        <f t="shared" si="14"/>
        <v>19.000000000000004</v>
      </c>
      <c r="X31" s="13">
        <f t="shared" si="14"/>
        <v>140</v>
      </c>
      <c r="Y31" s="40">
        <f t="shared" si="15"/>
        <v>65</v>
      </c>
      <c r="Z31" s="4">
        <f t="shared" si="15"/>
        <v>54.000000000000007</v>
      </c>
      <c r="AA31" s="4">
        <f t="shared" si="1"/>
        <v>-15.999999999999982</v>
      </c>
      <c r="AB31" s="4">
        <f t="shared" si="2"/>
        <v>-5</v>
      </c>
      <c r="AC31" s="4">
        <f t="shared" si="3"/>
        <v>-12.999999999999993</v>
      </c>
      <c r="AD31" s="13">
        <f t="shared" si="4"/>
        <v>3</v>
      </c>
      <c r="AE31" s="15">
        <f t="shared" si="5"/>
        <v>80.999999999999986</v>
      </c>
      <c r="AH31" s="18">
        <v>0</v>
      </c>
      <c r="AI31" s="19">
        <f t="shared" si="6"/>
        <v>30</v>
      </c>
      <c r="AJ31" s="19">
        <f t="shared" si="7"/>
        <v>240</v>
      </c>
      <c r="AK31" s="20">
        <f t="shared" si="16"/>
        <v>55</v>
      </c>
      <c r="AL31" s="19">
        <f t="shared" si="28"/>
        <v>55</v>
      </c>
      <c r="AM31" s="19">
        <f t="shared" si="18"/>
        <v>84</v>
      </c>
      <c r="AN31" s="19">
        <f t="shared" si="19"/>
        <v>84</v>
      </c>
      <c r="AO31" s="19">
        <f t="shared" si="29"/>
        <v>224</v>
      </c>
      <c r="AP31" s="19">
        <f t="shared" si="20"/>
        <v>162</v>
      </c>
      <c r="AQ31" s="19">
        <f t="shared" si="21"/>
        <v>227</v>
      </c>
      <c r="AR31" s="19">
        <f t="shared" si="22"/>
        <v>431</v>
      </c>
      <c r="AS31" s="47">
        <f t="shared" si="23"/>
        <v>-78.254999999999995</v>
      </c>
      <c r="AT31" t="e">
        <f>IF(R31="Yes",-225,NA())</f>
        <v>#N/A</v>
      </c>
      <c r="AU31" t="e">
        <f t="shared" si="25"/>
        <v>#N/A</v>
      </c>
      <c r="AV31" t="e">
        <f t="shared" si="25"/>
        <v>#N/A</v>
      </c>
      <c r="AW31" t="e">
        <f t="shared" si="25"/>
        <v>#N/A</v>
      </c>
      <c r="BB31" s="84"/>
      <c r="BC31" s="14"/>
      <c r="BD31" s="14"/>
    </row>
    <row r="32" spans="1:56">
      <c r="M32" s="5">
        <f>AVERAGE(M2:M31)</f>
        <v>4.0532407407407392E-2</v>
      </c>
      <c r="N32" s="5">
        <f>AVERAGE(N2:N31)</f>
        <v>5.4560185185185156E-2</v>
      </c>
      <c r="O32" s="5">
        <f>AVERAGE(O2:O31)</f>
        <v>0.15988425925925923</v>
      </c>
      <c r="P32" s="5">
        <f>AVERAGE(P2:P31)</f>
        <v>0.16208333333333336</v>
      </c>
      <c r="Q32" s="48">
        <f>AVERAGE(Q2:Q31)</f>
        <v>3.3912799999999996</v>
      </c>
      <c r="R32" s="48"/>
      <c r="S32" s="48"/>
      <c r="T32" s="48"/>
      <c r="U32" s="48"/>
      <c r="W32" s="16">
        <f>AVERAGE(W2:W31)</f>
        <v>20.2</v>
      </c>
      <c r="X32" s="14">
        <f>AVERAGE(X2:X31)</f>
        <v>151.66666666666666</v>
      </c>
      <c r="Y32" s="16">
        <f>AVERAGE(Y2:Y31)</f>
        <v>58.366666666666667</v>
      </c>
      <c r="AE32" s="14">
        <f>AVERAGE(AE2:AE31)</f>
        <v>68.13333333333334</v>
      </c>
      <c r="BB32" s="84"/>
      <c r="BC32" s="14"/>
      <c r="BD32" s="14"/>
    </row>
    <row r="33" spans="4:44">
      <c r="P33" s="2"/>
      <c r="AH33" s="150" t="s">
        <v>30</v>
      </c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</row>
    <row r="35" spans="4:44">
      <c r="D35" s="2"/>
    </row>
    <row r="36" spans="4:44">
      <c r="D36" s="2"/>
    </row>
    <row r="37" spans="4:44">
      <c r="D37" s="2"/>
    </row>
    <row r="38" spans="4:44">
      <c r="D38" s="2"/>
    </row>
    <row r="39" spans="4:44">
      <c r="D39" s="2"/>
    </row>
    <row r="40" spans="4:44">
      <c r="D40" s="2"/>
    </row>
    <row r="41" spans="4:44">
      <c r="D41" s="2"/>
    </row>
    <row r="42" spans="4:44">
      <c r="D42" s="2"/>
    </row>
    <row r="43" spans="4:44">
      <c r="D43" s="2"/>
    </row>
    <row r="44" spans="4:44">
      <c r="D44" s="2"/>
    </row>
    <row r="45" spans="4:44">
      <c r="D45" s="2"/>
    </row>
    <row r="46" spans="4:44">
      <c r="D46" s="2"/>
    </row>
    <row r="47" spans="4:44">
      <c r="D47" s="2"/>
    </row>
  </sheetData>
  <autoFilter ref="B1:AA1" xr:uid="{00000000-0001-0000-0000-000000000000}"/>
  <mergeCells count="1">
    <mergeCell ref="AH33:AR33"/>
  </mergeCells>
  <conditionalFormatting sqref="Q2:U32 W32">
    <cfRule type="cellIs" dxfId="54" priority="1" operator="lessThanOrEqual">
      <formula>0</formula>
    </cfRule>
  </conditionalFormatting>
  <conditionalFormatting sqref="W2:W31">
    <cfRule type="cellIs" dxfId="53" priority="6" operator="greaterThan">
      <formula>$F$2</formula>
    </cfRule>
    <cfRule type="cellIs" dxfId="52" priority="7" operator="lessThanOrEqual">
      <formula>$F$2</formula>
    </cfRule>
  </conditionalFormatting>
  <conditionalFormatting sqref="X2:X31">
    <cfRule type="cellIs" dxfId="51" priority="4" operator="greaterThan">
      <formula>$H$2</formula>
    </cfRule>
    <cfRule type="cellIs" dxfId="50" priority="5" operator="lessThanOrEqual">
      <formula>$H$2</formula>
    </cfRule>
  </conditionalFormatting>
  <conditionalFormatting sqref="AD2:AD31">
    <cfRule type="cellIs" dxfId="49" priority="2" operator="greaterThan">
      <formula>5</formula>
    </cfRule>
  </conditionalFormatting>
  <conditionalFormatting sqref="AE2:AE31">
    <cfRule type="cellIs" dxfId="48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3C3C-99C2-4B64-A434-E7A2BD7C26E4}">
  <dimension ref="A1:AV48"/>
  <sheetViews>
    <sheetView showGridLines="0" topLeftCell="Q1" workbookViewId="0">
      <pane ySplit="1" topLeftCell="A18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18" width="11.1796875" customWidth="1"/>
    <col min="19" max="20" width="11.1796875" hidden="1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hidden="1" customWidth="1"/>
    <col min="48" max="48" width="0" hidden="1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41</v>
      </c>
      <c r="AV1" s="44" t="s">
        <v>42</v>
      </c>
    </row>
    <row r="2" spans="1:48">
      <c r="A2" s="30">
        <f t="shared" ref="A2:A32" si="0">B2</f>
        <v>45809</v>
      </c>
      <c r="B2" s="31">
        <v>45809</v>
      </c>
      <c r="C2" s="32" t="s">
        <v>157</v>
      </c>
      <c r="D2" s="33">
        <v>0</v>
      </c>
      <c r="E2" s="35">
        <f>(D2+(TIME(0,F2,0)))</f>
        <v>2.0833333333333332E-2</v>
      </c>
      <c r="F2" s="34">
        <v>30</v>
      </c>
      <c r="G2" s="33">
        <v>0.16666666666666666</v>
      </c>
      <c r="H2" s="36">
        <f>((G2-D2)*1440)-F2</f>
        <v>210</v>
      </c>
      <c r="I2" s="37">
        <f>(N2+(TIME(0,J2,0)))</f>
        <v>0.1472222222222222</v>
      </c>
      <c r="J2" s="4">
        <v>5</v>
      </c>
      <c r="K2" s="7"/>
      <c r="L2" s="2">
        <v>3.4722222222222224E-2</v>
      </c>
      <c r="M2" s="2">
        <v>4.1666666666666664E-2</v>
      </c>
      <c r="N2" s="83">
        <v>0.14374999999999999</v>
      </c>
      <c r="O2" s="45">
        <v>0.14722222222222223</v>
      </c>
      <c r="P2" s="47">
        <v>1.47759</v>
      </c>
      <c r="Q2" s="85" t="s">
        <v>44</v>
      </c>
      <c r="R2" s="85" t="s">
        <v>45</v>
      </c>
      <c r="S2" t="s">
        <v>45</v>
      </c>
      <c r="T2" t="s">
        <v>45</v>
      </c>
      <c r="U2" s="7"/>
      <c r="V2" s="13">
        <f>((M2-L2)*1440)</f>
        <v>9.9999999999999947</v>
      </c>
      <c r="W2" s="13">
        <f>((N2-M2)*1440)</f>
        <v>147</v>
      </c>
      <c r="X2" s="40">
        <f>((L2-D2)*1440)</f>
        <v>50</v>
      </c>
      <c r="Y2" s="4">
        <f>((M2-E2)*1440)</f>
        <v>30</v>
      </c>
      <c r="Z2" s="4">
        <f t="shared" ref="Z2:Z32" si="1">((N2-G2)*1440)</f>
        <v>-33</v>
      </c>
      <c r="AA2" s="4">
        <f t="shared" ref="AA2:AA32" si="2">W2-(H2-X2)</f>
        <v>-13</v>
      </c>
      <c r="AB2" s="4">
        <f t="shared" ref="AB2:AB32" si="3">((O2-G2)*1440)</f>
        <v>-27.999999999999979</v>
      </c>
      <c r="AC2" s="13">
        <f t="shared" ref="AC2:AC32" si="4">ROUND((O2-N2)*1440,0)</f>
        <v>5</v>
      </c>
      <c r="AD2" s="15">
        <f t="shared" ref="AD2:AD32" si="5">(Z2*-1)+X2</f>
        <v>83</v>
      </c>
      <c r="AG2" s="18">
        <v>0</v>
      </c>
      <c r="AH2" s="19">
        <f t="shared" ref="AH2:AH32" si="6">AG2+F2</f>
        <v>30</v>
      </c>
      <c r="AI2" s="19">
        <f t="shared" ref="AI2:AI32" si="7">AG2+H2+AH2</f>
        <v>240</v>
      </c>
      <c r="AJ2" s="20">
        <f>AG2+X2-10</f>
        <v>40</v>
      </c>
      <c r="AK2" s="19">
        <f>AJ2</f>
        <v>40</v>
      </c>
      <c r="AL2" s="19">
        <f>AM2</f>
        <v>60</v>
      </c>
      <c r="AM2" s="19">
        <f>AH2+Y2</f>
        <v>60</v>
      </c>
      <c r="AN2" s="19">
        <f t="shared" ref="AN2:AN15" si="8">AM2+W2</f>
        <v>207</v>
      </c>
      <c r="AO2" s="19">
        <f>(AN2/2)+50</f>
        <v>153.5</v>
      </c>
      <c r="AP2" s="19">
        <f>AN2+AC2</f>
        <v>212</v>
      </c>
      <c r="AQ2" s="19">
        <f>AD2+350</f>
        <v>433</v>
      </c>
      <c r="AR2" s="47">
        <f>(P2*50)-250</f>
        <v>-176.12049999999999</v>
      </c>
      <c r="AS2" s="85">
        <f t="shared" ref="AS2:AS29" si="9">IF(Q2="Yes",-225,0)</f>
        <v>-225</v>
      </c>
      <c r="AT2" s="85"/>
      <c r="AU2">
        <f>IF(S2="Yes",-195,0)</f>
        <v>0</v>
      </c>
    </row>
    <row r="3" spans="1:48">
      <c r="A3" s="30">
        <f t="shared" si="0"/>
        <v>45810</v>
      </c>
      <c r="B3" s="31">
        <v>45810</v>
      </c>
      <c r="C3" s="32" t="s">
        <v>157</v>
      </c>
      <c r="D3" s="33">
        <v>0</v>
      </c>
      <c r="E3" s="35">
        <f t="shared" ref="E3:E32" si="10">(D3+(TIME(0,F3,0)))</f>
        <v>2.0833333333333332E-2</v>
      </c>
      <c r="F3" s="34">
        <v>30</v>
      </c>
      <c r="G3" s="33">
        <v>0.16666666666666666</v>
      </c>
      <c r="H3" s="36">
        <f t="shared" ref="H3:H32" si="11">((G3-D3)*1440)-F3</f>
        <v>210</v>
      </c>
      <c r="I3" s="37">
        <f t="shared" ref="I3:I32" si="12">(N3+(TIME(0,J3,0)))</f>
        <v>0.14027777777777778</v>
      </c>
      <c r="J3" s="4">
        <v>5</v>
      </c>
      <c r="K3" s="7"/>
      <c r="L3" s="2">
        <v>4.1666666666666664E-2</v>
      </c>
      <c r="M3" s="2">
        <v>5.2777777777777778E-2</v>
      </c>
      <c r="N3" s="83">
        <v>0.13680555555555557</v>
      </c>
      <c r="O3" s="45">
        <v>0.14027777777777778</v>
      </c>
      <c r="P3" s="47">
        <v>1.37758</v>
      </c>
      <c r="Q3" s="85" t="s">
        <v>45</v>
      </c>
      <c r="R3" s="85" t="s">
        <v>44</v>
      </c>
      <c r="S3" t="s">
        <v>45</v>
      </c>
      <c r="T3" t="s">
        <v>45</v>
      </c>
      <c r="U3" s="7"/>
      <c r="V3" s="13">
        <f>((M3-L3)*1440)</f>
        <v>16.000000000000004</v>
      </c>
      <c r="W3" s="13">
        <f>((N3-M3)*1440)</f>
        <v>121.00000000000001</v>
      </c>
      <c r="X3" s="40">
        <f>((L3-D3)*1440)</f>
        <v>60</v>
      </c>
      <c r="Y3" s="4">
        <f>((M3-E3)*1440)</f>
        <v>46</v>
      </c>
      <c r="Z3" s="4">
        <f t="shared" si="1"/>
        <v>-42.999999999999964</v>
      </c>
      <c r="AA3" s="4">
        <f t="shared" si="2"/>
        <v>-28.999999999999986</v>
      </c>
      <c r="AB3" s="4">
        <f t="shared" si="3"/>
        <v>-37.999999999999986</v>
      </c>
      <c r="AC3" s="13">
        <f t="shared" si="4"/>
        <v>5</v>
      </c>
      <c r="AD3" s="15">
        <f t="shared" si="5"/>
        <v>102.99999999999997</v>
      </c>
      <c r="AG3" s="18">
        <v>0</v>
      </c>
      <c r="AH3" s="19">
        <f t="shared" si="6"/>
        <v>30</v>
      </c>
      <c r="AI3" s="19">
        <f t="shared" si="7"/>
        <v>240</v>
      </c>
      <c r="AJ3" s="20">
        <f>AG3+X3-10</f>
        <v>50</v>
      </c>
      <c r="AK3" s="19">
        <f t="shared" ref="AK3:AK19" si="13">AJ3</f>
        <v>50</v>
      </c>
      <c r="AL3" s="19">
        <f t="shared" ref="AL3:AL32" si="14">AM3</f>
        <v>76</v>
      </c>
      <c r="AM3" s="19">
        <f t="shared" ref="AM3:AM32" si="15">AH3+Y3</f>
        <v>76</v>
      </c>
      <c r="AN3" s="19">
        <f t="shared" si="8"/>
        <v>197</v>
      </c>
      <c r="AO3" s="19">
        <f>(AN3/2)+50</f>
        <v>148.5</v>
      </c>
      <c r="AP3" s="19">
        <f>AN3+AC3</f>
        <v>202</v>
      </c>
      <c r="AQ3" s="19">
        <f>AD3+350</f>
        <v>453</v>
      </c>
      <c r="AR3" s="47">
        <f>(P3*50)-250</f>
        <v>-181.12099999999998</v>
      </c>
      <c r="AS3" s="85"/>
      <c r="AT3" s="85">
        <f t="shared" ref="AT3:AT28" si="16">IF(R3="Yes",-210,0)</f>
        <v>-210</v>
      </c>
    </row>
    <row r="4" spans="1:48">
      <c r="A4" s="30">
        <f t="shared" si="0"/>
        <v>45811</v>
      </c>
      <c r="B4" s="31">
        <v>45811</v>
      </c>
      <c r="C4" s="32" t="s">
        <v>157</v>
      </c>
      <c r="D4" s="33">
        <v>0</v>
      </c>
      <c r="E4" s="35">
        <f t="shared" si="10"/>
        <v>2.0833333333333332E-2</v>
      </c>
      <c r="F4" s="34">
        <v>30</v>
      </c>
      <c r="G4" s="33">
        <v>0.16666666666666666</v>
      </c>
      <c r="H4" s="36">
        <f t="shared" si="11"/>
        <v>210</v>
      </c>
      <c r="I4" s="37">
        <f t="shared" si="12"/>
        <v>0.13541666666666666</v>
      </c>
      <c r="J4" s="4">
        <v>5</v>
      </c>
      <c r="K4" s="7"/>
      <c r="L4" s="2">
        <v>4.5138888888888888E-2</v>
      </c>
      <c r="M4" s="2">
        <v>5.0694444444444445E-2</v>
      </c>
      <c r="N4" s="83">
        <v>0.13194444444444445</v>
      </c>
      <c r="O4" s="45">
        <v>0.13472222222222222</v>
      </c>
      <c r="P4" s="47">
        <v>1.36853</v>
      </c>
      <c r="Q4" s="85" t="s">
        <v>45</v>
      </c>
      <c r="R4" s="85" t="s">
        <v>45</v>
      </c>
      <c r="S4" t="s">
        <v>45</v>
      </c>
      <c r="T4" t="s">
        <v>45</v>
      </c>
      <c r="U4" s="7"/>
      <c r="V4" s="13">
        <f t="shared" ref="V4:W32" si="17">((M4-L4)*1440)</f>
        <v>8.0000000000000018</v>
      </c>
      <c r="W4" s="13">
        <f t="shared" si="17"/>
        <v>117</v>
      </c>
      <c r="X4" s="40">
        <f t="shared" ref="X4:Y32" si="18">((L4-D4)*1440)</f>
        <v>65</v>
      </c>
      <c r="Y4" s="4">
        <f t="shared" si="18"/>
        <v>43</v>
      </c>
      <c r="Z4" s="4">
        <f t="shared" si="1"/>
        <v>-49.999999999999986</v>
      </c>
      <c r="AA4" s="4">
        <f t="shared" si="2"/>
        <v>-28</v>
      </c>
      <c r="AB4" s="4">
        <f t="shared" si="3"/>
        <v>-46</v>
      </c>
      <c r="AC4" s="13">
        <f t="shared" si="4"/>
        <v>4</v>
      </c>
      <c r="AD4" s="15">
        <f t="shared" si="5"/>
        <v>114.99999999999999</v>
      </c>
      <c r="AG4" s="18">
        <v>0</v>
      </c>
      <c r="AH4" s="19">
        <f t="shared" si="6"/>
        <v>30</v>
      </c>
      <c r="AI4" s="19">
        <f t="shared" si="7"/>
        <v>240</v>
      </c>
      <c r="AJ4" s="20">
        <f t="shared" ref="AJ4:AJ32" si="19">AG4+X4-10</f>
        <v>55</v>
      </c>
      <c r="AK4" s="19">
        <f t="shared" si="13"/>
        <v>55</v>
      </c>
      <c r="AL4" s="19">
        <f t="shared" si="14"/>
        <v>73</v>
      </c>
      <c r="AM4" s="19">
        <f t="shared" si="15"/>
        <v>73</v>
      </c>
      <c r="AN4" s="19">
        <f t="shared" si="8"/>
        <v>190</v>
      </c>
      <c r="AO4" s="19">
        <f t="shared" ref="AO4:AO32" si="20">(AN4/2)+50</f>
        <v>145</v>
      </c>
      <c r="AP4" s="19">
        <f t="shared" ref="AP4:AP32" si="21">AN4+AC4</f>
        <v>194</v>
      </c>
      <c r="AQ4" s="19">
        <f t="shared" ref="AQ4:AQ32" si="22">AD4+350</f>
        <v>465</v>
      </c>
      <c r="AR4" s="47">
        <f t="shared" ref="AR4:AR32" si="23">(P4*50)-250</f>
        <v>-181.5735</v>
      </c>
      <c r="AS4" s="85"/>
      <c r="AT4" s="85"/>
    </row>
    <row r="5" spans="1:48">
      <c r="A5" s="30">
        <f t="shared" si="0"/>
        <v>45812</v>
      </c>
      <c r="B5" s="31">
        <v>45812</v>
      </c>
      <c r="C5" s="32" t="s">
        <v>157</v>
      </c>
      <c r="D5" s="33">
        <v>0</v>
      </c>
      <c r="E5" s="35">
        <f t="shared" si="10"/>
        <v>2.0833333333333332E-2</v>
      </c>
      <c r="F5" s="34">
        <v>30</v>
      </c>
      <c r="G5" s="33">
        <v>0.16666666666666666</v>
      </c>
      <c r="H5" s="36">
        <f t="shared" si="11"/>
        <v>210</v>
      </c>
      <c r="I5" s="37">
        <f t="shared" si="12"/>
        <v>0.15</v>
      </c>
      <c r="J5" s="4">
        <v>5</v>
      </c>
      <c r="K5" s="7"/>
      <c r="L5" s="2">
        <v>4.5138888888888888E-2</v>
      </c>
      <c r="M5" s="2">
        <v>5.4166666666666669E-2</v>
      </c>
      <c r="N5" s="83">
        <v>0.14652777777777778</v>
      </c>
      <c r="O5" s="45">
        <v>0.15</v>
      </c>
      <c r="P5" s="47">
        <v>1.39757</v>
      </c>
      <c r="Q5" s="85" t="s">
        <v>44</v>
      </c>
      <c r="R5" s="85" t="s">
        <v>45</v>
      </c>
      <c r="S5" t="s">
        <v>45</v>
      </c>
      <c r="T5" t="s">
        <v>45</v>
      </c>
      <c r="U5" s="7"/>
      <c r="V5" s="13">
        <f t="shared" si="17"/>
        <v>13.000000000000004</v>
      </c>
      <c r="W5" s="13">
        <f t="shared" si="17"/>
        <v>133</v>
      </c>
      <c r="X5" s="40">
        <f t="shared" si="18"/>
        <v>65</v>
      </c>
      <c r="Y5" s="4">
        <f t="shared" si="18"/>
        <v>48.000000000000007</v>
      </c>
      <c r="Z5" s="4">
        <f t="shared" si="1"/>
        <v>-28.999999999999979</v>
      </c>
      <c r="AA5" s="4">
        <f t="shared" si="2"/>
        <v>-12</v>
      </c>
      <c r="AB5" s="4">
        <f t="shared" si="3"/>
        <v>-23.999999999999993</v>
      </c>
      <c r="AC5" s="13">
        <f t="shared" si="4"/>
        <v>5</v>
      </c>
      <c r="AD5" s="15">
        <f t="shared" si="5"/>
        <v>93.999999999999972</v>
      </c>
      <c r="AG5" s="18">
        <v>0</v>
      </c>
      <c r="AH5" s="19">
        <f t="shared" si="6"/>
        <v>30</v>
      </c>
      <c r="AI5" s="19">
        <f t="shared" si="7"/>
        <v>240</v>
      </c>
      <c r="AJ5" s="20">
        <f t="shared" si="19"/>
        <v>55</v>
      </c>
      <c r="AK5" s="19">
        <f t="shared" si="13"/>
        <v>55</v>
      </c>
      <c r="AL5" s="19">
        <f t="shared" si="14"/>
        <v>78</v>
      </c>
      <c r="AM5" s="19">
        <f t="shared" si="15"/>
        <v>78</v>
      </c>
      <c r="AN5" s="19">
        <f t="shared" si="8"/>
        <v>211</v>
      </c>
      <c r="AO5" s="19">
        <f t="shared" si="20"/>
        <v>155.5</v>
      </c>
      <c r="AP5" s="19">
        <f t="shared" si="21"/>
        <v>216</v>
      </c>
      <c r="AQ5" s="19">
        <f t="shared" si="22"/>
        <v>444</v>
      </c>
      <c r="AR5" s="47">
        <f t="shared" si="23"/>
        <v>-180.1215</v>
      </c>
      <c r="AS5" s="85">
        <f t="shared" si="9"/>
        <v>-225</v>
      </c>
      <c r="AT5" s="85"/>
    </row>
    <row r="6" spans="1:48">
      <c r="A6" s="30">
        <f t="shared" si="0"/>
        <v>45813</v>
      </c>
      <c r="B6" s="31">
        <v>45813</v>
      </c>
      <c r="C6" s="32" t="s">
        <v>157</v>
      </c>
      <c r="D6" s="33">
        <v>0</v>
      </c>
      <c r="E6" s="35">
        <f t="shared" si="10"/>
        <v>2.0833333333333332E-2</v>
      </c>
      <c r="F6" s="34">
        <v>30</v>
      </c>
      <c r="G6" s="33">
        <v>0.16666666666666666</v>
      </c>
      <c r="H6" s="36">
        <f t="shared" si="11"/>
        <v>210</v>
      </c>
      <c r="I6" s="37">
        <f t="shared" si="12"/>
        <v>0.1423611111111111</v>
      </c>
      <c r="J6" s="4">
        <v>5</v>
      </c>
      <c r="K6" s="7"/>
      <c r="L6" s="2">
        <v>3.4722222222222224E-2</v>
      </c>
      <c r="M6" s="2">
        <v>4.5138888888888888E-2</v>
      </c>
      <c r="N6" s="83">
        <v>0.1388888888888889</v>
      </c>
      <c r="O6" s="45">
        <v>0.1423611111111111</v>
      </c>
      <c r="P6" s="47">
        <v>1.40588</v>
      </c>
      <c r="Q6" s="85" t="s">
        <v>45</v>
      </c>
      <c r="R6" s="85" t="s">
        <v>44</v>
      </c>
      <c r="S6" t="s">
        <v>45</v>
      </c>
      <c r="T6" t="s">
        <v>45</v>
      </c>
      <c r="U6" s="7"/>
      <c r="V6" s="13">
        <f t="shared" si="17"/>
        <v>14.999999999999996</v>
      </c>
      <c r="W6" s="13">
        <f t="shared" si="17"/>
        <v>135</v>
      </c>
      <c r="X6" s="40">
        <f t="shared" si="18"/>
        <v>50</v>
      </c>
      <c r="Y6" s="4">
        <f t="shared" si="18"/>
        <v>35</v>
      </c>
      <c r="Z6" s="4">
        <f t="shared" si="1"/>
        <v>-39.999999999999979</v>
      </c>
      <c r="AA6" s="4">
        <f t="shared" si="2"/>
        <v>-25</v>
      </c>
      <c r="AB6" s="4">
        <f t="shared" si="3"/>
        <v>-34.999999999999993</v>
      </c>
      <c r="AC6" s="13">
        <f t="shared" si="4"/>
        <v>5</v>
      </c>
      <c r="AD6" s="15">
        <f t="shared" si="5"/>
        <v>89.999999999999972</v>
      </c>
      <c r="AG6" s="18">
        <v>0</v>
      </c>
      <c r="AH6" s="19">
        <f t="shared" si="6"/>
        <v>30</v>
      </c>
      <c r="AI6" s="19">
        <f t="shared" si="7"/>
        <v>240</v>
      </c>
      <c r="AJ6" s="20">
        <f t="shared" si="19"/>
        <v>40</v>
      </c>
      <c r="AK6" s="19">
        <f t="shared" si="13"/>
        <v>40</v>
      </c>
      <c r="AL6" s="19">
        <f t="shared" si="14"/>
        <v>65</v>
      </c>
      <c r="AM6" s="19">
        <f t="shared" si="15"/>
        <v>65</v>
      </c>
      <c r="AN6" s="19">
        <f t="shared" si="8"/>
        <v>200</v>
      </c>
      <c r="AO6" s="19">
        <f t="shared" si="20"/>
        <v>150</v>
      </c>
      <c r="AP6" s="19">
        <f t="shared" si="21"/>
        <v>205</v>
      </c>
      <c r="AQ6" s="19">
        <f t="shared" si="22"/>
        <v>440</v>
      </c>
      <c r="AR6" s="47">
        <f t="shared" si="23"/>
        <v>-179.70600000000002</v>
      </c>
      <c r="AS6" s="85"/>
      <c r="AT6" s="85">
        <f t="shared" si="16"/>
        <v>-210</v>
      </c>
    </row>
    <row r="7" spans="1:48">
      <c r="A7" s="30">
        <f t="shared" si="0"/>
        <v>45814</v>
      </c>
      <c r="B7" s="31">
        <v>45814</v>
      </c>
      <c r="C7" s="32" t="s">
        <v>157</v>
      </c>
      <c r="D7" s="33">
        <v>0</v>
      </c>
      <c r="E7" s="35">
        <f t="shared" si="10"/>
        <v>2.0833333333333332E-2</v>
      </c>
      <c r="F7" s="34">
        <v>30</v>
      </c>
      <c r="G7" s="33">
        <v>0.16666666666666666</v>
      </c>
      <c r="H7" s="36">
        <f t="shared" si="11"/>
        <v>210</v>
      </c>
      <c r="I7" s="37">
        <f t="shared" si="12"/>
        <v>0.14513888888888887</v>
      </c>
      <c r="J7" s="4">
        <v>5</v>
      </c>
      <c r="K7" s="7"/>
      <c r="L7" s="2">
        <v>4.1666666666666664E-2</v>
      </c>
      <c r="M7" s="2">
        <v>5.5555555555555552E-2</v>
      </c>
      <c r="N7" s="83">
        <v>0.14166666666666666</v>
      </c>
      <c r="O7" s="45">
        <v>0.14444444444444443</v>
      </c>
      <c r="P7" s="47">
        <v>1.4017999999999999</v>
      </c>
      <c r="Q7" s="85" t="s">
        <v>45</v>
      </c>
      <c r="R7" s="85" t="s">
        <v>45</v>
      </c>
      <c r="S7" t="s">
        <v>45</v>
      </c>
      <c r="T7" t="s">
        <v>45</v>
      </c>
      <c r="U7" s="7"/>
      <c r="V7" s="13">
        <f t="shared" si="17"/>
        <v>20</v>
      </c>
      <c r="W7" s="13">
        <f t="shared" si="17"/>
        <v>124</v>
      </c>
      <c r="X7" s="40">
        <f t="shared" si="18"/>
        <v>60</v>
      </c>
      <c r="Y7" s="4">
        <f t="shared" si="18"/>
        <v>50</v>
      </c>
      <c r="Z7" s="4">
        <f t="shared" si="1"/>
        <v>-35.999999999999993</v>
      </c>
      <c r="AA7" s="4">
        <f t="shared" si="2"/>
        <v>-26</v>
      </c>
      <c r="AB7" s="4">
        <f t="shared" si="3"/>
        <v>-32.000000000000007</v>
      </c>
      <c r="AC7" s="13">
        <f t="shared" si="4"/>
        <v>4</v>
      </c>
      <c r="AD7" s="15">
        <f t="shared" si="5"/>
        <v>96</v>
      </c>
      <c r="AG7" s="18">
        <v>0</v>
      </c>
      <c r="AH7" s="19">
        <f t="shared" si="6"/>
        <v>30</v>
      </c>
      <c r="AI7" s="19">
        <f t="shared" si="7"/>
        <v>240</v>
      </c>
      <c r="AJ7" s="20">
        <f t="shared" si="19"/>
        <v>50</v>
      </c>
      <c r="AK7" s="19">
        <f t="shared" si="13"/>
        <v>50</v>
      </c>
      <c r="AL7" s="19">
        <f t="shared" si="14"/>
        <v>80</v>
      </c>
      <c r="AM7" s="19">
        <f t="shared" si="15"/>
        <v>80</v>
      </c>
      <c r="AN7" s="19">
        <f t="shared" si="8"/>
        <v>204</v>
      </c>
      <c r="AO7" s="19">
        <f t="shared" si="20"/>
        <v>152</v>
      </c>
      <c r="AP7" s="19">
        <f t="shared" si="21"/>
        <v>208</v>
      </c>
      <c r="AQ7" s="19">
        <f t="shared" si="22"/>
        <v>446</v>
      </c>
      <c r="AR7" s="47">
        <f t="shared" si="23"/>
        <v>-179.91</v>
      </c>
      <c r="AS7" s="85"/>
      <c r="AT7" s="85"/>
    </row>
    <row r="8" spans="1:48">
      <c r="A8" s="30">
        <f t="shared" si="0"/>
        <v>45815</v>
      </c>
      <c r="B8" s="31">
        <v>45815</v>
      </c>
      <c r="C8" s="32" t="s">
        <v>157</v>
      </c>
      <c r="D8" s="33">
        <v>0</v>
      </c>
      <c r="E8" s="35">
        <f t="shared" si="10"/>
        <v>2.0833333333333332E-2</v>
      </c>
      <c r="F8" s="34">
        <v>30</v>
      </c>
      <c r="G8" s="33">
        <v>0.16666666666666666</v>
      </c>
      <c r="H8" s="36">
        <f t="shared" si="11"/>
        <v>210</v>
      </c>
      <c r="I8" s="37">
        <f t="shared" si="12"/>
        <v>0.14513888888888887</v>
      </c>
      <c r="J8" s="4">
        <v>5</v>
      </c>
      <c r="K8" s="7"/>
      <c r="L8" s="2">
        <v>3.3333333333333333E-2</v>
      </c>
      <c r="M8" s="2">
        <v>4.0972222222222222E-2</v>
      </c>
      <c r="N8" s="83">
        <v>0.14166666666666666</v>
      </c>
      <c r="O8" s="45">
        <v>0.14444444444444443</v>
      </c>
      <c r="P8" s="47">
        <v>1.43262</v>
      </c>
      <c r="Q8" s="85" t="s">
        <v>45</v>
      </c>
      <c r="R8" s="85" t="s">
        <v>45</v>
      </c>
      <c r="S8" t="s">
        <v>45</v>
      </c>
      <c r="T8" t="s">
        <v>45</v>
      </c>
      <c r="U8" s="7"/>
      <c r="V8" s="13">
        <f t="shared" si="17"/>
        <v>11</v>
      </c>
      <c r="W8" s="13">
        <f t="shared" si="17"/>
        <v>145</v>
      </c>
      <c r="X8" s="40">
        <f t="shared" si="18"/>
        <v>48</v>
      </c>
      <c r="Y8" s="4">
        <f t="shared" si="18"/>
        <v>29.000000000000004</v>
      </c>
      <c r="Z8" s="4">
        <f t="shared" si="1"/>
        <v>-35.999999999999993</v>
      </c>
      <c r="AA8" s="4">
        <f t="shared" si="2"/>
        <v>-17</v>
      </c>
      <c r="AB8" s="4">
        <f t="shared" si="3"/>
        <v>-32.000000000000007</v>
      </c>
      <c r="AC8" s="13">
        <f t="shared" si="4"/>
        <v>4</v>
      </c>
      <c r="AD8" s="15">
        <f t="shared" si="5"/>
        <v>84</v>
      </c>
      <c r="AG8" s="18">
        <v>0</v>
      </c>
      <c r="AH8" s="19">
        <f t="shared" si="6"/>
        <v>30</v>
      </c>
      <c r="AI8" s="19">
        <f t="shared" si="7"/>
        <v>240</v>
      </c>
      <c r="AJ8" s="20">
        <f t="shared" si="19"/>
        <v>38</v>
      </c>
      <c r="AK8" s="19">
        <f t="shared" si="13"/>
        <v>38</v>
      </c>
      <c r="AL8" s="19">
        <f t="shared" si="14"/>
        <v>59</v>
      </c>
      <c r="AM8" s="19">
        <f t="shared" si="15"/>
        <v>59</v>
      </c>
      <c r="AN8" s="19">
        <f t="shared" si="8"/>
        <v>204</v>
      </c>
      <c r="AO8" s="19">
        <f t="shared" si="20"/>
        <v>152</v>
      </c>
      <c r="AP8" s="19">
        <f t="shared" si="21"/>
        <v>208</v>
      </c>
      <c r="AQ8" s="19">
        <f t="shared" si="22"/>
        <v>434</v>
      </c>
      <c r="AR8" s="47">
        <f t="shared" si="23"/>
        <v>-178.369</v>
      </c>
      <c r="AS8" s="85"/>
      <c r="AT8" s="85"/>
      <c r="AU8">
        <f t="shared" ref="AU8" si="24">IF(S8="Yes",-195,0)</f>
        <v>0</v>
      </c>
    </row>
    <row r="9" spans="1:48">
      <c r="A9" s="30">
        <f t="shared" si="0"/>
        <v>45816</v>
      </c>
      <c r="B9" s="31">
        <v>45816</v>
      </c>
      <c r="C9" s="32" t="s">
        <v>157</v>
      </c>
      <c r="D9" s="33">
        <v>0</v>
      </c>
      <c r="E9" s="35">
        <f t="shared" si="10"/>
        <v>2.0833333333333332E-2</v>
      </c>
      <c r="F9" s="34">
        <v>30</v>
      </c>
      <c r="G9" s="33">
        <v>0.16666666666666666</v>
      </c>
      <c r="H9" s="36">
        <f t="shared" si="11"/>
        <v>210</v>
      </c>
      <c r="I9" s="37">
        <f t="shared" si="12"/>
        <v>0.14166666666666666</v>
      </c>
      <c r="J9" s="4">
        <v>5</v>
      </c>
      <c r="K9" s="7"/>
      <c r="L9" s="2">
        <v>4.027777777777778E-2</v>
      </c>
      <c r="M9" s="2">
        <v>5.0694444444444445E-2</v>
      </c>
      <c r="N9" s="83">
        <v>0.13819444444444445</v>
      </c>
      <c r="O9" s="45">
        <v>0.14097222222222222</v>
      </c>
      <c r="P9" s="47">
        <v>1.4658</v>
      </c>
      <c r="Q9" s="85" t="s">
        <v>45</v>
      </c>
      <c r="R9" s="85" t="s">
        <v>45</v>
      </c>
      <c r="S9" t="s">
        <v>45</v>
      </c>
      <c r="T9" t="s">
        <v>45</v>
      </c>
      <c r="U9" s="7"/>
      <c r="V9" s="13">
        <f t="shared" si="17"/>
        <v>14.999999999999996</v>
      </c>
      <c r="W9" s="13">
        <f t="shared" si="17"/>
        <v>126.00000000000001</v>
      </c>
      <c r="X9" s="40">
        <f t="shared" si="18"/>
        <v>58.000000000000007</v>
      </c>
      <c r="Y9" s="4">
        <f t="shared" si="18"/>
        <v>43</v>
      </c>
      <c r="Z9" s="4">
        <f t="shared" si="1"/>
        <v>-40.999999999999972</v>
      </c>
      <c r="AA9" s="4">
        <f t="shared" si="2"/>
        <v>-25.999999999999986</v>
      </c>
      <c r="AB9" s="4">
        <f t="shared" si="3"/>
        <v>-36.999999999999986</v>
      </c>
      <c r="AC9" s="13">
        <f t="shared" si="4"/>
        <v>4</v>
      </c>
      <c r="AD9" s="15">
        <f t="shared" si="5"/>
        <v>98.999999999999972</v>
      </c>
      <c r="AG9" s="18">
        <v>0</v>
      </c>
      <c r="AH9" s="19">
        <f t="shared" si="6"/>
        <v>30</v>
      </c>
      <c r="AI9" s="19">
        <f t="shared" si="7"/>
        <v>240</v>
      </c>
      <c r="AJ9" s="20">
        <f t="shared" si="19"/>
        <v>48.000000000000007</v>
      </c>
      <c r="AK9" s="19">
        <f t="shared" si="13"/>
        <v>48.000000000000007</v>
      </c>
      <c r="AL9" s="19">
        <f t="shared" si="14"/>
        <v>73</v>
      </c>
      <c r="AM9" s="19">
        <f t="shared" si="15"/>
        <v>73</v>
      </c>
      <c r="AN9" s="19">
        <f t="shared" si="8"/>
        <v>199</v>
      </c>
      <c r="AO9" s="19">
        <f t="shared" si="20"/>
        <v>149.5</v>
      </c>
      <c r="AP9" s="19">
        <f t="shared" si="21"/>
        <v>203</v>
      </c>
      <c r="AQ9" s="19">
        <f t="shared" si="22"/>
        <v>449</v>
      </c>
      <c r="AR9" s="47">
        <f t="shared" si="23"/>
        <v>-176.70999999999998</v>
      </c>
      <c r="AS9" s="85"/>
      <c r="AT9" s="85"/>
    </row>
    <row r="10" spans="1:48">
      <c r="A10" s="30">
        <f t="shared" si="0"/>
        <v>45817</v>
      </c>
      <c r="B10" s="31">
        <v>45817</v>
      </c>
      <c r="C10" s="32" t="s">
        <v>157</v>
      </c>
      <c r="D10" s="33">
        <v>0</v>
      </c>
      <c r="E10" s="35">
        <f t="shared" si="10"/>
        <v>2.0833333333333332E-2</v>
      </c>
      <c r="F10" s="34">
        <v>30</v>
      </c>
      <c r="G10" s="33">
        <v>0.16666666666666666</v>
      </c>
      <c r="H10" s="36">
        <f t="shared" si="11"/>
        <v>210</v>
      </c>
      <c r="I10" s="37">
        <f t="shared" si="12"/>
        <v>0.16944444444444443</v>
      </c>
      <c r="J10" s="4">
        <v>5</v>
      </c>
      <c r="K10" s="7"/>
      <c r="L10" s="2">
        <v>5.2083333333333336E-2</v>
      </c>
      <c r="M10" s="2">
        <v>5.8333333333333334E-2</v>
      </c>
      <c r="N10" s="83">
        <v>0.16597222222222222</v>
      </c>
      <c r="O10" s="45">
        <v>0.16875000000000001</v>
      </c>
      <c r="P10" s="47">
        <v>1.3615999999999999</v>
      </c>
      <c r="Q10" s="85" t="s">
        <v>44</v>
      </c>
      <c r="R10" s="85" t="s">
        <v>44</v>
      </c>
      <c r="S10" t="s">
        <v>45</v>
      </c>
      <c r="T10" t="s">
        <v>45</v>
      </c>
      <c r="U10" s="7"/>
      <c r="V10" s="13">
        <f t="shared" si="17"/>
        <v>8.9999999999999982</v>
      </c>
      <c r="W10" s="13">
        <f t="shared" si="17"/>
        <v>155</v>
      </c>
      <c r="X10" s="40">
        <f t="shared" si="18"/>
        <v>75</v>
      </c>
      <c r="Y10" s="4">
        <f t="shared" si="18"/>
        <v>54.000000000000007</v>
      </c>
      <c r="Z10" s="4">
        <f t="shared" si="1"/>
        <v>-0.99999999999999645</v>
      </c>
      <c r="AA10" s="4">
        <f t="shared" si="2"/>
        <v>20</v>
      </c>
      <c r="AB10" s="4">
        <f t="shared" si="3"/>
        <v>3.0000000000000293</v>
      </c>
      <c r="AC10" s="13">
        <f t="shared" si="4"/>
        <v>4</v>
      </c>
      <c r="AD10" s="15">
        <f t="shared" si="5"/>
        <v>76</v>
      </c>
      <c r="AG10" s="18">
        <v>0</v>
      </c>
      <c r="AH10" s="19">
        <f t="shared" si="6"/>
        <v>30</v>
      </c>
      <c r="AI10" s="19">
        <f t="shared" si="7"/>
        <v>240</v>
      </c>
      <c r="AJ10" s="20">
        <f t="shared" si="19"/>
        <v>65</v>
      </c>
      <c r="AK10" s="19">
        <f t="shared" si="13"/>
        <v>65</v>
      </c>
      <c r="AL10" s="19">
        <f t="shared" si="14"/>
        <v>84</v>
      </c>
      <c r="AM10" s="19">
        <f t="shared" si="15"/>
        <v>84</v>
      </c>
      <c r="AN10" s="19">
        <f t="shared" si="8"/>
        <v>239</v>
      </c>
      <c r="AO10" s="19">
        <f t="shared" si="20"/>
        <v>169.5</v>
      </c>
      <c r="AP10" s="19">
        <f t="shared" si="21"/>
        <v>243</v>
      </c>
      <c r="AQ10" s="19">
        <f t="shared" si="22"/>
        <v>426</v>
      </c>
      <c r="AR10" s="47">
        <f t="shared" si="23"/>
        <v>-181.92000000000002</v>
      </c>
      <c r="AS10" s="85">
        <f t="shared" si="9"/>
        <v>-225</v>
      </c>
      <c r="AT10" s="85">
        <f t="shared" si="16"/>
        <v>-210</v>
      </c>
    </row>
    <row r="11" spans="1:48">
      <c r="A11" s="30">
        <f t="shared" si="0"/>
        <v>45818</v>
      </c>
      <c r="B11" s="31">
        <v>45818</v>
      </c>
      <c r="C11" s="32" t="s">
        <v>157</v>
      </c>
      <c r="D11" s="33">
        <v>0</v>
      </c>
      <c r="E11" s="35">
        <f t="shared" si="10"/>
        <v>2.0833333333333332E-2</v>
      </c>
      <c r="F11" s="34">
        <v>30</v>
      </c>
      <c r="G11" s="33">
        <v>0.16666666666666666</v>
      </c>
      <c r="H11" s="36">
        <f t="shared" si="11"/>
        <v>210</v>
      </c>
      <c r="I11" s="37">
        <f t="shared" si="12"/>
        <v>0.13680555555555554</v>
      </c>
      <c r="J11" s="4">
        <v>5</v>
      </c>
      <c r="K11" s="7"/>
      <c r="L11" s="2">
        <v>2.8472222222222222E-2</v>
      </c>
      <c r="M11" s="2">
        <v>3.6111111111111108E-2</v>
      </c>
      <c r="N11" s="83">
        <v>0.13333333333333333</v>
      </c>
      <c r="O11" s="45">
        <v>0.1361111111111111</v>
      </c>
      <c r="P11" s="47">
        <v>1.3539699999999999</v>
      </c>
      <c r="Q11" s="85" t="s">
        <v>45</v>
      </c>
      <c r="R11" s="85" t="s">
        <v>45</v>
      </c>
      <c r="S11" t="s">
        <v>45</v>
      </c>
      <c r="T11" t="s">
        <v>45</v>
      </c>
      <c r="U11" s="7"/>
      <c r="V11" s="13">
        <f t="shared" si="17"/>
        <v>10.999999999999996</v>
      </c>
      <c r="W11" s="13">
        <f t="shared" si="17"/>
        <v>140</v>
      </c>
      <c r="X11" s="40">
        <f t="shared" si="18"/>
        <v>41</v>
      </c>
      <c r="Y11" s="4">
        <f t="shared" si="18"/>
        <v>21.999999999999996</v>
      </c>
      <c r="Z11" s="4">
        <f t="shared" si="1"/>
        <v>-47.999999999999986</v>
      </c>
      <c r="AA11" s="4">
        <f t="shared" si="2"/>
        <v>-29</v>
      </c>
      <c r="AB11" s="4">
        <f t="shared" si="3"/>
        <v>-44</v>
      </c>
      <c r="AC11" s="13">
        <f t="shared" si="4"/>
        <v>4</v>
      </c>
      <c r="AD11" s="15">
        <f t="shared" si="5"/>
        <v>88.999999999999986</v>
      </c>
      <c r="AG11" s="18">
        <v>0</v>
      </c>
      <c r="AH11" s="19">
        <f t="shared" si="6"/>
        <v>30</v>
      </c>
      <c r="AI11" s="19">
        <f t="shared" si="7"/>
        <v>240</v>
      </c>
      <c r="AJ11" s="20">
        <f t="shared" si="19"/>
        <v>31</v>
      </c>
      <c r="AK11" s="19">
        <f t="shared" si="13"/>
        <v>31</v>
      </c>
      <c r="AL11" s="19">
        <f t="shared" si="14"/>
        <v>52</v>
      </c>
      <c r="AM11" s="19">
        <f t="shared" si="15"/>
        <v>52</v>
      </c>
      <c r="AN11" s="19">
        <f t="shared" si="8"/>
        <v>192</v>
      </c>
      <c r="AO11" s="19">
        <f t="shared" si="20"/>
        <v>146</v>
      </c>
      <c r="AP11" s="19">
        <f t="shared" si="21"/>
        <v>196</v>
      </c>
      <c r="AQ11" s="19">
        <f t="shared" si="22"/>
        <v>439</v>
      </c>
      <c r="AR11" s="47">
        <f t="shared" si="23"/>
        <v>-182.3015</v>
      </c>
      <c r="AS11" s="85"/>
      <c r="AT11" s="85"/>
    </row>
    <row r="12" spans="1:48">
      <c r="A12" s="30">
        <f t="shared" si="0"/>
        <v>45819</v>
      </c>
      <c r="B12" s="31">
        <v>45819</v>
      </c>
      <c r="C12" s="32" t="s">
        <v>157</v>
      </c>
      <c r="D12" s="33">
        <v>0</v>
      </c>
      <c r="E12" s="35">
        <f t="shared" si="10"/>
        <v>2.0833333333333332E-2</v>
      </c>
      <c r="F12" s="34">
        <v>30</v>
      </c>
      <c r="G12" s="33">
        <v>0.16666666666666666</v>
      </c>
      <c r="H12" s="36">
        <f t="shared" si="11"/>
        <v>210</v>
      </c>
      <c r="I12" s="37">
        <f t="shared" si="12"/>
        <v>0.12083333333333333</v>
      </c>
      <c r="J12" s="4">
        <v>5</v>
      </c>
      <c r="K12" s="7"/>
      <c r="L12" s="2">
        <v>2.013888888888889E-2</v>
      </c>
      <c r="M12" s="2">
        <v>3.7499999999999999E-2</v>
      </c>
      <c r="N12" s="83">
        <v>0.11736111111111111</v>
      </c>
      <c r="O12" s="45">
        <v>0.12013888888888889</v>
      </c>
      <c r="P12" s="47">
        <v>1.3927700000000001</v>
      </c>
      <c r="Q12" s="85" t="s">
        <v>45</v>
      </c>
      <c r="R12" s="85" t="s">
        <v>44</v>
      </c>
      <c r="S12" t="s">
        <v>45</v>
      </c>
      <c r="T12" t="s">
        <v>45</v>
      </c>
      <c r="U12" s="7"/>
      <c r="V12" s="13">
        <f t="shared" si="17"/>
        <v>24.999999999999996</v>
      </c>
      <c r="W12" s="13">
        <f t="shared" si="17"/>
        <v>114.99999999999999</v>
      </c>
      <c r="X12" s="40">
        <f t="shared" si="18"/>
        <v>29.000000000000004</v>
      </c>
      <c r="Y12" s="4">
        <f t="shared" si="18"/>
        <v>24</v>
      </c>
      <c r="Z12" s="4">
        <f t="shared" si="1"/>
        <v>-70.999999999999986</v>
      </c>
      <c r="AA12" s="4">
        <f t="shared" si="2"/>
        <v>-66.000000000000014</v>
      </c>
      <c r="AB12" s="4">
        <f t="shared" si="3"/>
        <v>-66.999999999999986</v>
      </c>
      <c r="AC12" s="13">
        <f t="shared" si="4"/>
        <v>4</v>
      </c>
      <c r="AD12" s="15">
        <f t="shared" si="5"/>
        <v>99.999999999999986</v>
      </c>
      <c r="AG12" s="18">
        <v>0</v>
      </c>
      <c r="AH12" s="19">
        <f t="shared" si="6"/>
        <v>30</v>
      </c>
      <c r="AI12" s="19">
        <f t="shared" si="7"/>
        <v>240</v>
      </c>
      <c r="AJ12" s="20">
        <f t="shared" si="19"/>
        <v>19.000000000000004</v>
      </c>
      <c r="AK12" s="19">
        <f t="shared" si="13"/>
        <v>19.000000000000004</v>
      </c>
      <c r="AL12" s="19">
        <f t="shared" si="14"/>
        <v>54</v>
      </c>
      <c r="AM12" s="19">
        <f t="shared" si="15"/>
        <v>54</v>
      </c>
      <c r="AN12" s="19">
        <f t="shared" si="8"/>
        <v>169</v>
      </c>
      <c r="AO12" s="19">
        <f t="shared" si="20"/>
        <v>134.5</v>
      </c>
      <c r="AP12" s="19">
        <f t="shared" si="21"/>
        <v>173</v>
      </c>
      <c r="AQ12" s="19">
        <f t="shared" si="22"/>
        <v>450</v>
      </c>
      <c r="AR12" s="47">
        <f t="shared" si="23"/>
        <v>-180.36149999999998</v>
      </c>
      <c r="AS12" s="85"/>
      <c r="AT12" s="85">
        <f t="shared" si="16"/>
        <v>-210</v>
      </c>
    </row>
    <row r="13" spans="1:48">
      <c r="A13" s="30">
        <f t="shared" si="0"/>
        <v>45820</v>
      </c>
      <c r="B13" s="31">
        <v>45820</v>
      </c>
      <c r="C13" s="32" t="s">
        <v>157</v>
      </c>
      <c r="D13" s="33">
        <v>0</v>
      </c>
      <c r="E13" s="35">
        <f t="shared" si="10"/>
        <v>2.0833333333333332E-2</v>
      </c>
      <c r="F13" s="34">
        <v>30</v>
      </c>
      <c r="G13" s="33">
        <v>0.16666666666666666</v>
      </c>
      <c r="H13" s="36">
        <f t="shared" si="11"/>
        <v>210</v>
      </c>
      <c r="I13" s="37">
        <f t="shared" si="12"/>
        <v>0.14930555555555555</v>
      </c>
      <c r="J13" s="4">
        <v>5</v>
      </c>
      <c r="K13" s="7"/>
      <c r="L13" s="2">
        <v>3.1944444444444442E-2</v>
      </c>
      <c r="M13" s="2">
        <v>6.1805555555555558E-2</v>
      </c>
      <c r="N13" s="83">
        <v>0.14583333333333334</v>
      </c>
      <c r="O13" s="45">
        <v>0.15277777777777779</v>
      </c>
      <c r="P13" s="47">
        <v>1.3651</v>
      </c>
      <c r="Q13" s="85" t="s">
        <v>45</v>
      </c>
      <c r="R13" s="85" t="s">
        <v>44</v>
      </c>
      <c r="S13" t="s">
        <v>45</v>
      </c>
      <c r="T13" t="s">
        <v>45</v>
      </c>
      <c r="U13" s="7"/>
      <c r="V13" s="13">
        <f t="shared" si="17"/>
        <v>43.000000000000007</v>
      </c>
      <c r="W13" s="13">
        <f t="shared" si="17"/>
        <v>121.00000000000001</v>
      </c>
      <c r="X13" s="40">
        <f t="shared" si="18"/>
        <v>46</v>
      </c>
      <c r="Y13" s="4">
        <f t="shared" si="18"/>
        <v>59.000000000000007</v>
      </c>
      <c r="Z13" s="4">
        <f t="shared" si="1"/>
        <v>-29.999999999999972</v>
      </c>
      <c r="AA13" s="4">
        <f t="shared" si="2"/>
        <v>-42.999999999999986</v>
      </c>
      <c r="AB13" s="4">
        <f t="shared" si="3"/>
        <v>-19.999999999999968</v>
      </c>
      <c r="AC13" s="13">
        <f t="shared" si="4"/>
        <v>10</v>
      </c>
      <c r="AD13" s="15">
        <f t="shared" si="5"/>
        <v>75.999999999999972</v>
      </c>
      <c r="AG13" s="18">
        <v>0</v>
      </c>
      <c r="AH13" s="19">
        <f t="shared" si="6"/>
        <v>30</v>
      </c>
      <c r="AI13" s="19">
        <f t="shared" si="7"/>
        <v>240</v>
      </c>
      <c r="AJ13" s="20">
        <f t="shared" si="19"/>
        <v>36</v>
      </c>
      <c r="AK13" s="19">
        <f t="shared" si="13"/>
        <v>36</v>
      </c>
      <c r="AL13" s="19">
        <f t="shared" si="14"/>
        <v>89</v>
      </c>
      <c r="AM13" s="19">
        <f t="shared" si="15"/>
        <v>89</v>
      </c>
      <c r="AN13" s="19">
        <f t="shared" si="8"/>
        <v>210</v>
      </c>
      <c r="AO13" s="19">
        <f t="shared" si="20"/>
        <v>155</v>
      </c>
      <c r="AP13" s="19">
        <f t="shared" si="21"/>
        <v>220</v>
      </c>
      <c r="AQ13" s="19">
        <f t="shared" si="22"/>
        <v>426</v>
      </c>
      <c r="AR13" s="47">
        <f t="shared" si="23"/>
        <v>-181.745</v>
      </c>
      <c r="AS13" s="85"/>
      <c r="AT13" s="85">
        <f t="shared" si="16"/>
        <v>-210</v>
      </c>
    </row>
    <row r="14" spans="1:48">
      <c r="A14" s="30">
        <f t="shared" si="0"/>
        <v>45821</v>
      </c>
      <c r="B14" s="31">
        <v>45821</v>
      </c>
      <c r="C14" s="32" t="s">
        <v>157</v>
      </c>
      <c r="D14" s="33">
        <v>0</v>
      </c>
      <c r="E14" s="35">
        <f t="shared" si="10"/>
        <v>2.0833333333333332E-2</v>
      </c>
      <c r="F14" s="34">
        <v>30</v>
      </c>
      <c r="G14" s="33">
        <v>0.16666666666666666</v>
      </c>
      <c r="H14" s="36">
        <f t="shared" si="11"/>
        <v>210</v>
      </c>
      <c r="I14" s="37">
        <f t="shared" si="12"/>
        <v>0.15625</v>
      </c>
      <c r="J14" s="4">
        <v>5</v>
      </c>
      <c r="K14" s="7"/>
      <c r="L14" s="2">
        <v>6.5972222222222224E-2</v>
      </c>
      <c r="M14" s="2">
        <v>7.2916666666666671E-2</v>
      </c>
      <c r="N14" s="83">
        <v>0.15277777777777779</v>
      </c>
      <c r="O14" s="45">
        <v>0.15555555555555556</v>
      </c>
      <c r="P14" s="47">
        <v>1.3982399999999999</v>
      </c>
      <c r="Q14" s="85" t="s">
        <v>45</v>
      </c>
      <c r="R14" s="85" t="s">
        <v>45</v>
      </c>
      <c r="S14" t="s">
        <v>45</v>
      </c>
      <c r="T14" t="s">
        <v>45</v>
      </c>
      <c r="U14" s="7"/>
      <c r="V14" s="13">
        <f t="shared" si="17"/>
        <v>10.000000000000004</v>
      </c>
      <c r="W14" s="13">
        <f t="shared" si="17"/>
        <v>115.00000000000001</v>
      </c>
      <c r="X14" s="40">
        <f t="shared" si="18"/>
        <v>95</v>
      </c>
      <c r="Y14" s="4">
        <f t="shared" si="18"/>
        <v>75.000000000000014</v>
      </c>
      <c r="Z14" s="4">
        <f t="shared" si="1"/>
        <v>-19.999999999999968</v>
      </c>
      <c r="AA14" s="4">
        <f t="shared" si="2"/>
        <v>0</v>
      </c>
      <c r="AB14" s="4">
        <f t="shared" si="3"/>
        <v>-15.999999999999982</v>
      </c>
      <c r="AC14" s="13">
        <f t="shared" si="4"/>
        <v>4</v>
      </c>
      <c r="AD14" s="15">
        <f t="shared" si="5"/>
        <v>114.99999999999997</v>
      </c>
      <c r="AG14" s="18">
        <v>0</v>
      </c>
      <c r="AH14" s="19">
        <f t="shared" si="6"/>
        <v>30</v>
      </c>
      <c r="AI14" s="19">
        <f t="shared" si="7"/>
        <v>240</v>
      </c>
      <c r="AJ14" s="20">
        <f t="shared" si="19"/>
        <v>85</v>
      </c>
      <c r="AK14" s="19">
        <f t="shared" si="13"/>
        <v>85</v>
      </c>
      <c r="AL14" s="19">
        <f t="shared" si="14"/>
        <v>105.00000000000001</v>
      </c>
      <c r="AM14" s="19">
        <f t="shared" si="15"/>
        <v>105.00000000000001</v>
      </c>
      <c r="AN14" s="19">
        <f t="shared" si="8"/>
        <v>220.00000000000003</v>
      </c>
      <c r="AO14" s="19">
        <f t="shared" si="20"/>
        <v>160</v>
      </c>
      <c r="AP14" s="19">
        <f t="shared" si="21"/>
        <v>224.00000000000003</v>
      </c>
      <c r="AQ14" s="19">
        <f t="shared" si="22"/>
        <v>465</v>
      </c>
      <c r="AR14" s="47">
        <f t="shared" si="23"/>
        <v>-180.08800000000002</v>
      </c>
      <c r="AS14" s="85"/>
      <c r="AT14" s="85"/>
    </row>
    <row r="15" spans="1:48">
      <c r="A15" s="30">
        <f t="shared" si="0"/>
        <v>45822</v>
      </c>
      <c r="B15" s="31">
        <v>45822</v>
      </c>
      <c r="C15" s="32" t="s">
        <v>157</v>
      </c>
      <c r="D15" s="33">
        <v>0</v>
      </c>
      <c r="E15" s="35">
        <f t="shared" si="10"/>
        <v>2.0833333333333332E-2</v>
      </c>
      <c r="F15" s="34">
        <v>30</v>
      </c>
      <c r="G15" s="33">
        <v>0.16666666666666666</v>
      </c>
      <c r="H15" s="36">
        <f t="shared" si="11"/>
        <v>210</v>
      </c>
      <c r="I15" s="37">
        <f t="shared" si="12"/>
        <v>0.15694444444444444</v>
      </c>
      <c r="J15" s="4">
        <v>5</v>
      </c>
      <c r="K15" s="7"/>
      <c r="L15" s="2">
        <v>4.3749999999999997E-2</v>
      </c>
      <c r="M15" s="2">
        <v>6.3194444444444442E-2</v>
      </c>
      <c r="N15" s="83">
        <v>0.15347222222222223</v>
      </c>
      <c r="O15" s="45">
        <v>0.15625</v>
      </c>
      <c r="P15" s="47">
        <v>1.4469399999999999</v>
      </c>
      <c r="Q15" s="85" t="s">
        <v>45</v>
      </c>
      <c r="R15" s="85" t="s">
        <v>45</v>
      </c>
      <c r="S15" t="s">
        <v>45</v>
      </c>
      <c r="T15" t="s">
        <v>45</v>
      </c>
      <c r="U15" s="7"/>
      <c r="V15" s="13">
        <f t="shared" si="17"/>
        <v>28</v>
      </c>
      <c r="W15" s="13">
        <f t="shared" si="17"/>
        <v>130.00000000000003</v>
      </c>
      <c r="X15" s="40">
        <f t="shared" si="18"/>
        <v>62.999999999999993</v>
      </c>
      <c r="Y15" s="4">
        <f t="shared" si="18"/>
        <v>61</v>
      </c>
      <c r="Z15" s="4">
        <f t="shared" si="1"/>
        <v>-18.999999999999972</v>
      </c>
      <c r="AA15" s="4">
        <f t="shared" si="2"/>
        <v>-16.999999999999972</v>
      </c>
      <c r="AB15" s="4">
        <f t="shared" si="3"/>
        <v>-14.999999999999986</v>
      </c>
      <c r="AC15" s="13">
        <f t="shared" si="4"/>
        <v>4</v>
      </c>
      <c r="AD15" s="15">
        <f t="shared" si="5"/>
        <v>81.999999999999972</v>
      </c>
      <c r="AG15" s="18">
        <v>0</v>
      </c>
      <c r="AH15" s="19">
        <f t="shared" si="6"/>
        <v>30</v>
      </c>
      <c r="AI15" s="19">
        <f t="shared" si="7"/>
        <v>240</v>
      </c>
      <c r="AJ15" s="20">
        <f t="shared" si="19"/>
        <v>52.999999999999993</v>
      </c>
      <c r="AK15" s="19">
        <f t="shared" si="13"/>
        <v>52.999999999999993</v>
      </c>
      <c r="AL15" s="19">
        <f t="shared" si="14"/>
        <v>91</v>
      </c>
      <c r="AM15" s="19">
        <f t="shared" si="15"/>
        <v>91</v>
      </c>
      <c r="AN15" s="19">
        <f t="shared" si="8"/>
        <v>221.00000000000003</v>
      </c>
      <c r="AO15" s="19">
        <f t="shared" si="20"/>
        <v>160.5</v>
      </c>
      <c r="AP15" s="19">
        <f t="shared" si="21"/>
        <v>225.00000000000003</v>
      </c>
      <c r="AQ15" s="19">
        <f t="shared" si="22"/>
        <v>432</v>
      </c>
      <c r="AR15" s="47">
        <f t="shared" si="23"/>
        <v>-177.65300000000002</v>
      </c>
      <c r="AS15" s="85"/>
      <c r="AT15" s="85"/>
    </row>
    <row r="16" spans="1:48">
      <c r="A16" s="30">
        <f t="shared" si="0"/>
        <v>45823</v>
      </c>
      <c r="B16" s="31">
        <v>45823</v>
      </c>
      <c r="C16" s="32" t="s">
        <v>157</v>
      </c>
      <c r="D16" s="33">
        <v>0</v>
      </c>
      <c r="E16" s="35">
        <f t="shared" si="10"/>
        <v>2.0833333333333332E-2</v>
      </c>
      <c r="F16" s="34">
        <v>30</v>
      </c>
      <c r="G16" s="33">
        <v>0.16666666666666666</v>
      </c>
      <c r="H16" s="36">
        <f t="shared" si="11"/>
        <v>210</v>
      </c>
      <c r="I16" s="37">
        <f t="shared" si="12"/>
        <v>0.19097222222222221</v>
      </c>
      <c r="J16" s="4">
        <v>5</v>
      </c>
      <c r="K16" s="7"/>
      <c r="L16" s="2">
        <v>4.9305555555555554E-2</v>
      </c>
      <c r="M16" s="2">
        <v>5.486111111111111E-2</v>
      </c>
      <c r="N16" s="83">
        <v>0.1875</v>
      </c>
      <c r="O16" s="45">
        <v>0.19444444444444445</v>
      </c>
      <c r="P16" s="47">
        <v>1.4708300000000001</v>
      </c>
      <c r="Q16" s="85" t="s">
        <v>44</v>
      </c>
      <c r="R16" s="85" t="s">
        <v>45</v>
      </c>
      <c r="S16" t="s">
        <v>45</v>
      </c>
      <c r="T16" t="s">
        <v>45</v>
      </c>
      <c r="U16" s="7"/>
      <c r="V16" s="13">
        <f t="shared" si="17"/>
        <v>8.0000000000000018</v>
      </c>
      <c r="W16" s="13">
        <f t="shared" si="17"/>
        <v>191</v>
      </c>
      <c r="X16" s="40">
        <f t="shared" si="18"/>
        <v>71</v>
      </c>
      <c r="Y16" s="4">
        <f t="shared" si="18"/>
        <v>49.000000000000007</v>
      </c>
      <c r="Z16" s="4">
        <f t="shared" si="1"/>
        <v>30.000000000000014</v>
      </c>
      <c r="AA16" s="4">
        <f t="shared" si="2"/>
        <v>52</v>
      </c>
      <c r="AB16" s="4">
        <f t="shared" si="3"/>
        <v>40.000000000000014</v>
      </c>
      <c r="AC16" s="13">
        <f t="shared" si="4"/>
        <v>10</v>
      </c>
      <c r="AD16" s="15">
        <f t="shared" si="5"/>
        <v>40.999999999999986</v>
      </c>
      <c r="AG16" s="18">
        <v>0</v>
      </c>
      <c r="AH16" s="19">
        <f t="shared" si="6"/>
        <v>30</v>
      </c>
      <c r="AI16" s="19">
        <f t="shared" si="7"/>
        <v>240</v>
      </c>
      <c r="AJ16" s="20">
        <f t="shared" si="19"/>
        <v>61</v>
      </c>
      <c r="AK16" s="19">
        <f t="shared" si="13"/>
        <v>61</v>
      </c>
      <c r="AL16" s="19">
        <f t="shared" si="14"/>
        <v>79</v>
      </c>
      <c r="AM16" s="19">
        <f t="shared" si="15"/>
        <v>79</v>
      </c>
      <c r="AN16" s="19">
        <f>AM16+W16</f>
        <v>270</v>
      </c>
      <c r="AO16" s="19">
        <f t="shared" si="20"/>
        <v>185</v>
      </c>
      <c r="AP16" s="19">
        <f t="shared" si="21"/>
        <v>280</v>
      </c>
      <c r="AQ16" s="19">
        <f t="shared" si="22"/>
        <v>391</v>
      </c>
      <c r="AR16" s="47">
        <f t="shared" si="23"/>
        <v>-176.45850000000002</v>
      </c>
      <c r="AS16" s="85">
        <f t="shared" si="9"/>
        <v>-225</v>
      </c>
      <c r="AT16" s="85"/>
    </row>
    <row r="17" spans="1:46">
      <c r="A17" s="30">
        <f t="shared" si="0"/>
        <v>45824</v>
      </c>
      <c r="B17" s="31">
        <v>45824</v>
      </c>
      <c r="C17" s="32" t="s">
        <v>157</v>
      </c>
      <c r="D17" s="33">
        <v>0</v>
      </c>
      <c r="E17" s="35">
        <f t="shared" si="10"/>
        <v>2.0833333333333332E-2</v>
      </c>
      <c r="F17" s="34">
        <v>30</v>
      </c>
      <c r="G17" s="33">
        <v>0.16666666666666666</v>
      </c>
      <c r="H17" s="36">
        <f t="shared" si="11"/>
        <v>210</v>
      </c>
      <c r="I17" s="37">
        <f t="shared" si="12"/>
        <v>0.15833333333333333</v>
      </c>
      <c r="J17" s="4">
        <v>5</v>
      </c>
      <c r="K17" s="7"/>
      <c r="L17" s="2">
        <v>3.4027777777777775E-2</v>
      </c>
      <c r="M17" s="2">
        <v>3.888888888888889E-2</v>
      </c>
      <c r="N17" s="83">
        <v>0.15486111111111112</v>
      </c>
      <c r="O17" s="45">
        <v>0.15763888888888888</v>
      </c>
      <c r="P17" s="47">
        <v>1.3764400000000001</v>
      </c>
      <c r="Q17" s="85" t="s">
        <v>44</v>
      </c>
      <c r="R17" s="85" t="s">
        <v>45</v>
      </c>
      <c r="S17" t="s">
        <v>45</v>
      </c>
      <c r="T17" t="s">
        <v>45</v>
      </c>
      <c r="U17" s="7"/>
      <c r="V17" s="13">
        <f t="shared" si="17"/>
        <v>7.0000000000000053</v>
      </c>
      <c r="W17" s="13">
        <f t="shared" si="17"/>
        <v>167</v>
      </c>
      <c r="X17" s="40">
        <f t="shared" si="18"/>
        <v>48.999999999999993</v>
      </c>
      <c r="Y17" s="4">
        <f t="shared" si="18"/>
        <v>26.000000000000004</v>
      </c>
      <c r="Z17" s="4">
        <f t="shared" si="1"/>
        <v>-16.999999999999979</v>
      </c>
      <c r="AA17" s="4">
        <f t="shared" si="2"/>
        <v>6</v>
      </c>
      <c r="AB17" s="4">
        <f t="shared" si="3"/>
        <v>-12.999999999999993</v>
      </c>
      <c r="AC17" s="13">
        <f t="shared" si="4"/>
        <v>4</v>
      </c>
      <c r="AD17" s="15">
        <f t="shared" si="5"/>
        <v>65.999999999999972</v>
      </c>
      <c r="AG17" s="18">
        <v>0</v>
      </c>
      <c r="AH17" s="19">
        <f t="shared" si="6"/>
        <v>30</v>
      </c>
      <c r="AI17" s="19">
        <f t="shared" si="7"/>
        <v>240</v>
      </c>
      <c r="AJ17" s="20">
        <f t="shared" si="19"/>
        <v>38.999999999999993</v>
      </c>
      <c r="AK17" s="19">
        <f t="shared" si="13"/>
        <v>38.999999999999993</v>
      </c>
      <c r="AL17" s="19">
        <f t="shared" si="14"/>
        <v>56</v>
      </c>
      <c r="AM17" s="19">
        <f t="shared" si="15"/>
        <v>56</v>
      </c>
      <c r="AN17" s="19">
        <f>AM17+W17</f>
        <v>223</v>
      </c>
      <c r="AO17" s="19">
        <f t="shared" si="20"/>
        <v>161.5</v>
      </c>
      <c r="AP17" s="19">
        <f t="shared" si="21"/>
        <v>227</v>
      </c>
      <c r="AQ17" s="19">
        <f t="shared" si="22"/>
        <v>416</v>
      </c>
      <c r="AR17" s="47">
        <f t="shared" si="23"/>
        <v>-181.178</v>
      </c>
      <c r="AS17" s="85">
        <f t="shared" si="9"/>
        <v>-225</v>
      </c>
      <c r="AT17" s="85"/>
    </row>
    <row r="18" spans="1:46">
      <c r="A18" s="30">
        <f t="shared" si="0"/>
        <v>45825</v>
      </c>
      <c r="B18" s="31">
        <v>45825</v>
      </c>
      <c r="C18" s="32" t="s">
        <v>157</v>
      </c>
      <c r="D18" s="33">
        <v>0</v>
      </c>
      <c r="E18" s="35">
        <f t="shared" si="10"/>
        <v>2.0833333333333332E-2</v>
      </c>
      <c r="F18" s="34">
        <v>30</v>
      </c>
      <c r="G18" s="33">
        <v>0.16666666666666666</v>
      </c>
      <c r="H18" s="36">
        <f t="shared" si="11"/>
        <v>210</v>
      </c>
      <c r="I18" s="37">
        <f t="shared" si="12"/>
        <v>0.12361111111111112</v>
      </c>
      <c r="J18" s="4">
        <v>5</v>
      </c>
      <c r="K18" s="7"/>
      <c r="L18" s="2">
        <v>2.1527777777777778E-2</v>
      </c>
      <c r="M18" s="2">
        <v>3.8194444444444448E-2</v>
      </c>
      <c r="N18" s="83">
        <v>0.12013888888888889</v>
      </c>
      <c r="O18" s="45">
        <v>0.12291666666666666</v>
      </c>
      <c r="P18" s="47">
        <v>1.36504</v>
      </c>
      <c r="Q18" s="85" t="s">
        <v>45</v>
      </c>
      <c r="R18" s="85" t="s">
        <v>45</v>
      </c>
      <c r="S18" t="s">
        <v>45</v>
      </c>
      <c r="T18" t="s">
        <v>45</v>
      </c>
      <c r="U18" s="7"/>
      <c r="V18" s="13">
        <f t="shared" si="17"/>
        <v>24.000000000000004</v>
      </c>
      <c r="W18" s="13">
        <f t="shared" si="17"/>
        <v>118</v>
      </c>
      <c r="X18" s="40">
        <f t="shared" si="18"/>
        <v>31</v>
      </c>
      <c r="Y18" s="4">
        <f t="shared" si="18"/>
        <v>25.000000000000007</v>
      </c>
      <c r="Z18" s="4">
        <f t="shared" si="1"/>
        <v>-66.999999999999986</v>
      </c>
      <c r="AA18" s="4">
        <f t="shared" si="2"/>
        <v>-61</v>
      </c>
      <c r="AB18" s="4">
        <f t="shared" si="3"/>
        <v>-62.999999999999993</v>
      </c>
      <c r="AC18" s="13">
        <f t="shared" si="4"/>
        <v>4</v>
      </c>
      <c r="AD18" s="15">
        <f t="shared" si="5"/>
        <v>97.999999999999986</v>
      </c>
      <c r="AG18" s="18">
        <v>0</v>
      </c>
      <c r="AH18" s="19">
        <f t="shared" si="6"/>
        <v>30</v>
      </c>
      <c r="AI18" s="19">
        <f t="shared" si="7"/>
        <v>240</v>
      </c>
      <c r="AJ18" s="20">
        <f t="shared" si="19"/>
        <v>21</v>
      </c>
      <c r="AK18" s="19">
        <f t="shared" si="13"/>
        <v>21</v>
      </c>
      <c r="AL18" s="19">
        <f t="shared" si="14"/>
        <v>55.000000000000007</v>
      </c>
      <c r="AM18" s="19">
        <f t="shared" si="15"/>
        <v>55.000000000000007</v>
      </c>
      <c r="AN18" s="19">
        <f>AM18+W18</f>
        <v>173</v>
      </c>
      <c r="AO18" s="19">
        <f t="shared" si="20"/>
        <v>136.5</v>
      </c>
      <c r="AP18" s="19">
        <f t="shared" si="21"/>
        <v>177</v>
      </c>
      <c r="AQ18" s="19">
        <f t="shared" si="22"/>
        <v>448</v>
      </c>
      <c r="AR18" s="47">
        <f t="shared" si="23"/>
        <v>-181.74799999999999</v>
      </c>
      <c r="AS18" s="85"/>
      <c r="AT18" s="85"/>
    </row>
    <row r="19" spans="1:46">
      <c r="A19" s="30">
        <f t="shared" si="0"/>
        <v>45826</v>
      </c>
      <c r="B19" s="31">
        <v>45826</v>
      </c>
      <c r="C19" s="32" t="s">
        <v>157</v>
      </c>
      <c r="D19" s="33">
        <v>0</v>
      </c>
      <c r="E19" s="35">
        <f t="shared" si="10"/>
        <v>2.0833333333333332E-2</v>
      </c>
      <c r="F19" s="34">
        <v>30</v>
      </c>
      <c r="G19" s="33">
        <v>0.16666666666666666</v>
      </c>
      <c r="H19" s="36">
        <f t="shared" si="11"/>
        <v>210</v>
      </c>
      <c r="I19" s="37">
        <f t="shared" si="12"/>
        <v>0.14374999999999999</v>
      </c>
      <c r="J19" s="4">
        <v>5</v>
      </c>
      <c r="K19" s="7"/>
      <c r="L19" s="2">
        <v>2.9861111111111113E-2</v>
      </c>
      <c r="M19" s="2">
        <v>4.3749999999999997E-2</v>
      </c>
      <c r="N19" s="83">
        <v>0.14027777777777778</v>
      </c>
      <c r="O19" s="45">
        <v>0.14374999999999999</v>
      </c>
      <c r="P19" s="47">
        <v>1.4141999999999999</v>
      </c>
      <c r="Q19" s="85" t="s">
        <v>44</v>
      </c>
      <c r="R19" s="85" t="s">
        <v>44</v>
      </c>
      <c r="S19" t="s">
        <v>45</v>
      </c>
      <c r="T19" t="s">
        <v>45</v>
      </c>
      <c r="U19" s="7"/>
      <c r="V19" s="13">
        <f t="shared" si="17"/>
        <v>19.999999999999993</v>
      </c>
      <c r="W19" s="13">
        <f t="shared" si="17"/>
        <v>139</v>
      </c>
      <c r="X19" s="40">
        <f t="shared" si="18"/>
        <v>43</v>
      </c>
      <c r="Y19" s="4">
        <f t="shared" si="18"/>
        <v>33</v>
      </c>
      <c r="Z19" s="4">
        <f t="shared" si="1"/>
        <v>-37.999999999999986</v>
      </c>
      <c r="AA19" s="4">
        <f t="shared" si="2"/>
        <v>-28</v>
      </c>
      <c r="AB19" s="4">
        <f t="shared" si="3"/>
        <v>-33</v>
      </c>
      <c r="AC19" s="13">
        <f t="shared" si="4"/>
        <v>5</v>
      </c>
      <c r="AD19" s="15">
        <f t="shared" si="5"/>
        <v>80.999999999999986</v>
      </c>
      <c r="AG19" s="18">
        <v>0</v>
      </c>
      <c r="AH19" s="19">
        <f t="shared" si="6"/>
        <v>30</v>
      </c>
      <c r="AI19" s="19">
        <f t="shared" si="7"/>
        <v>240</v>
      </c>
      <c r="AJ19" s="20">
        <f t="shared" si="19"/>
        <v>33</v>
      </c>
      <c r="AK19" s="19">
        <f t="shared" si="13"/>
        <v>33</v>
      </c>
      <c r="AL19" s="19">
        <f t="shared" si="14"/>
        <v>63</v>
      </c>
      <c r="AM19" s="19">
        <f t="shared" si="15"/>
        <v>63</v>
      </c>
      <c r="AN19" s="19">
        <f>AM19+W19</f>
        <v>202</v>
      </c>
      <c r="AO19" s="19">
        <f t="shared" si="20"/>
        <v>151</v>
      </c>
      <c r="AP19" s="19">
        <f t="shared" si="21"/>
        <v>207</v>
      </c>
      <c r="AQ19" s="19">
        <f t="shared" si="22"/>
        <v>431</v>
      </c>
      <c r="AR19" s="47">
        <f t="shared" si="23"/>
        <v>-179.29000000000002</v>
      </c>
      <c r="AS19" s="85">
        <f t="shared" si="9"/>
        <v>-225</v>
      </c>
      <c r="AT19" s="85">
        <f t="shared" si="16"/>
        <v>-210</v>
      </c>
    </row>
    <row r="20" spans="1:46">
      <c r="A20" s="30">
        <f t="shared" si="0"/>
        <v>45827</v>
      </c>
      <c r="B20" s="31">
        <v>45827</v>
      </c>
      <c r="C20" s="32" t="s">
        <v>157</v>
      </c>
      <c r="D20" s="33">
        <v>0</v>
      </c>
      <c r="E20" s="35">
        <f t="shared" si="10"/>
        <v>2.0833333333333332E-2</v>
      </c>
      <c r="F20" s="34">
        <v>30</v>
      </c>
      <c r="G20" s="33">
        <v>0.16666666666666666</v>
      </c>
      <c r="H20" s="36">
        <f t="shared" si="11"/>
        <v>210</v>
      </c>
      <c r="I20" s="37">
        <f t="shared" si="12"/>
        <v>0.1472222222222222</v>
      </c>
      <c r="J20" s="4">
        <v>5</v>
      </c>
      <c r="K20" s="7"/>
      <c r="L20" s="2">
        <v>3.888888888888889E-2</v>
      </c>
      <c r="M20" s="2">
        <v>4.8611111111111112E-2</v>
      </c>
      <c r="N20" s="83">
        <v>0.14374999999999999</v>
      </c>
      <c r="O20" s="45">
        <v>0.14652777777777778</v>
      </c>
      <c r="P20" s="47">
        <v>1.3818600000000001</v>
      </c>
      <c r="Q20" s="85" t="s">
        <v>45</v>
      </c>
      <c r="R20" s="85" t="s">
        <v>44</v>
      </c>
      <c r="S20" t="s">
        <v>45</v>
      </c>
      <c r="T20" t="s">
        <v>45</v>
      </c>
      <c r="U20" s="7"/>
      <c r="V20" s="13">
        <f t="shared" si="17"/>
        <v>14</v>
      </c>
      <c r="W20" s="13">
        <f t="shared" si="17"/>
        <v>137</v>
      </c>
      <c r="X20" s="40">
        <f t="shared" si="18"/>
        <v>56</v>
      </c>
      <c r="Y20" s="4">
        <f t="shared" si="18"/>
        <v>40</v>
      </c>
      <c r="Z20" s="4">
        <f t="shared" si="1"/>
        <v>-33</v>
      </c>
      <c r="AA20" s="4">
        <f t="shared" si="2"/>
        <v>-17</v>
      </c>
      <c r="AB20" s="4">
        <f t="shared" si="3"/>
        <v>-28.999999999999979</v>
      </c>
      <c r="AC20" s="13">
        <f t="shared" si="4"/>
        <v>4</v>
      </c>
      <c r="AD20" s="15">
        <f t="shared" si="5"/>
        <v>89</v>
      </c>
      <c r="AG20" s="18">
        <v>0</v>
      </c>
      <c r="AH20" s="19">
        <f t="shared" si="6"/>
        <v>30</v>
      </c>
      <c r="AI20" s="19">
        <f t="shared" si="7"/>
        <v>240</v>
      </c>
      <c r="AJ20" s="20">
        <f t="shared" si="19"/>
        <v>46</v>
      </c>
      <c r="AK20" s="19">
        <f>AJ20</f>
        <v>46</v>
      </c>
      <c r="AL20" s="19">
        <f t="shared" si="14"/>
        <v>70</v>
      </c>
      <c r="AM20" s="19">
        <f t="shared" si="15"/>
        <v>70</v>
      </c>
      <c r="AN20" s="19">
        <f>AM20+W20</f>
        <v>207</v>
      </c>
      <c r="AO20" s="19">
        <f t="shared" si="20"/>
        <v>153.5</v>
      </c>
      <c r="AP20" s="19">
        <f t="shared" si="21"/>
        <v>211</v>
      </c>
      <c r="AQ20" s="19">
        <f t="shared" si="22"/>
        <v>439</v>
      </c>
      <c r="AR20" s="47">
        <f t="shared" si="23"/>
        <v>-180.90699999999998</v>
      </c>
      <c r="AS20" s="85"/>
      <c r="AT20" s="85">
        <f t="shared" si="16"/>
        <v>-210</v>
      </c>
    </row>
    <row r="21" spans="1:46">
      <c r="A21" s="30">
        <f t="shared" si="0"/>
        <v>45828</v>
      </c>
      <c r="B21" s="31">
        <v>45828</v>
      </c>
      <c r="C21" s="32" t="s">
        <v>157</v>
      </c>
      <c r="D21" s="33">
        <v>0</v>
      </c>
      <c r="E21" s="35">
        <f t="shared" si="10"/>
        <v>2.0833333333333332E-2</v>
      </c>
      <c r="F21" s="34">
        <v>30</v>
      </c>
      <c r="G21" s="33">
        <v>0.16666666666666666</v>
      </c>
      <c r="H21" s="36">
        <f t="shared" si="11"/>
        <v>210</v>
      </c>
      <c r="I21" s="37">
        <f t="shared" si="12"/>
        <v>0.15833333333333333</v>
      </c>
      <c r="J21" s="4">
        <v>5</v>
      </c>
      <c r="K21" s="7"/>
      <c r="L21" s="2">
        <v>4.6527777777777779E-2</v>
      </c>
      <c r="M21" s="2">
        <v>6.1111111111111109E-2</v>
      </c>
      <c r="N21" s="83">
        <v>0.15486111111111112</v>
      </c>
      <c r="O21" s="45">
        <v>0.15833333333333333</v>
      </c>
      <c r="P21" s="47">
        <v>1.42371</v>
      </c>
      <c r="Q21" s="85" t="s">
        <v>45</v>
      </c>
      <c r="R21" s="85" t="s">
        <v>44</v>
      </c>
      <c r="S21" t="s">
        <v>45</v>
      </c>
      <c r="T21" t="s">
        <v>45</v>
      </c>
      <c r="U21" s="7"/>
      <c r="V21" s="13">
        <f t="shared" si="17"/>
        <v>20.999999999999996</v>
      </c>
      <c r="W21" s="13">
        <f t="shared" si="17"/>
        <v>135</v>
      </c>
      <c r="X21" s="40">
        <f t="shared" si="18"/>
        <v>67</v>
      </c>
      <c r="Y21" s="4">
        <f t="shared" si="18"/>
        <v>57.999999999999993</v>
      </c>
      <c r="Z21" s="4">
        <f t="shared" si="1"/>
        <v>-16.999999999999979</v>
      </c>
      <c r="AA21" s="4">
        <f t="shared" si="2"/>
        <v>-8</v>
      </c>
      <c r="AB21" s="4">
        <f t="shared" si="3"/>
        <v>-11.999999999999996</v>
      </c>
      <c r="AC21" s="13">
        <f t="shared" si="4"/>
        <v>5</v>
      </c>
      <c r="AD21" s="15">
        <f t="shared" si="5"/>
        <v>83.999999999999972</v>
      </c>
      <c r="AG21" s="18">
        <v>0</v>
      </c>
      <c r="AH21" s="19">
        <f t="shared" si="6"/>
        <v>30</v>
      </c>
      <c r="AI21" s="19">
        <f t="shared" si="7"/>
        <v>240</v>
      </c>
      <c r="AJ21" s="20">
        <f t="shared" si="19"/>
        <v>57</v>
      </c>
      <c r="AK21" s="19">
        <f t="shared" ref="AK21:AK32" si="25">AJ21</f>
        <v>57</v>
      </c>
      <c r="AL21" s="19">
        <f t="shared" si="14"/>
        <v>88</v>
      </c>
      <c r="AM21" s="19">
        <f t="shared" si="15"/>
        <v>88</v>
      </c>
      <c r="AN21" s="19">
        <f t="shared" ref="AN21:AN32" si="26">AM21+W21</f>
        <v>223</v>
      </c>
      <c r="AO21" s="19">
        <f t="shared" si="20"/>
        <v>161.5</v>
      </c>
      <c r="AP21" s="19">
        <f t="shared" si="21"/>
        <v>228</v>
      </c>
      <c r="AQ21" s="19">
        <f t="shared" si="22"/>
        <v>434</v>
      </c>
      <c r="AR21" s="47">
        <f t="shared" si="23"/>
        <v>-178.81450000000001</v>
      </c>
      <c r="AS21" s="85"/>
      <c r="AT21" s="85">
        <f t="shared" si="16"/>
        <v>-210</v>
      </c>
    </row>
    <row r="22" spans="1:46">
      <c r="A22" s="30">
        <f t="shared" si="0"/>
        <v>45829</v>
      </c>
      <c r="B22" s="31">
        <v>45829</v>
      </c>
      <c r="C22" s="32" t="s">
        <v>157</v>
      </c>
      <c r="D22" s="33">
        <v>0</v>
      </c>
      <c r="E22" s="35">
        <f t="shared" si="10"/>
        <v>2.0833333333333332E-2</v>
      </c>
      <c r="F22" s="34">
        <v>30</v>
      </c>
      <c r="G22" s="33">
        <v>0.16666666666666666</v>
      </c>
      <c r="H22" s="36">
        <f t="shared" si="11"/>
        <v>210</v>
      </c>
      <c r="I22" s="37">
        <f t="shared" si="12"/>
        <v>0.16666666666666666</v>
      </c>
      <c r="J22" s="4">
        <v>5</v>
      </c>
      <c r="K22" s="7"/>
      <c r="L22" s="2">
        <v>5.0694444444444445E-2</v>
      </c>
      <c r="M22" s="2">
        <v>5.6250000000000001E-2</v>
      </c>
      <c r="N22" s="83">
        <v>0.16319444444444445</v>
      </c>
      <c r="O22" s="45">
        <v>0.16597222222222222</v>
      </c>
      <c r="P22" s="47">
        <v>1.476</v>
      </c>
      <c r="Q22" s="85" t="s">
        <v>45</v>
      </c>
      <c r="R22" s="85" t="s">
        <v>45</v>
      </c>
      <c r="S22" t="s">
        <v>45</v>
      </c>
      <c r="T22" t="s">
        <v>45</v>
      </c>
      <c r="U22" s="7"/>
      <c r="V22" s="13">
        <f t="shared" si="17"/>
        <v>8.0000000000000018</v>
      </c>
      <c r="W22" s="13">
        <f t="shared" si="17"/>
        <v>154</v>
      </c>
      <c r="X22" s="40">
        <f t="shared" si="18"/>
        <v>73</v>
      </c>
      <c r="Y22" s="4">
        <f t="shared" si="18"/>
        <v>51</v>
      </c>
      <c r="Z22" s="4">
        <f t="shared" si="1"/>
        <v>-4.9999999999999822</v>
      </c>
      <c r="AA22" s="4">
        <f t="shared" si="2"/>
        <v>17</v>
      </c>
      <c r="AB22" s="4">
        <f t="shared" si="3"/>
        <v>-0.99999999999999645</v>
      </c>
      <c r="AC22" s="13">
        <f t="shared" si="4"/>
        <v>4</v>
      </c>
      <c r="AD22" s="15">
        <f t="shared" si="5"/>
        <v>77.999999999999986</v>
      </c>
      <c r="AG22" s="18">
        <v>0</v>
      </c>
      <c r="AH22" s="19">
        <f t="shared" si="6"/>
        <v>30</v>
      </c>
      <c r="AI22" s="19">
        <f t="shared" si="7"/>
        <v>240</v>
      </c>
      <c r="AJ22" s="20">
        <f t="shared" si="19"/>
        <v>63</v>
      </c>
      <c r="AK22" s="19">
        <f t="shared" si="25"/>
        <v>63</v>
      </c>
      <c r="AL22" s="19">
        <f t="shared" si="14"/>
        <v>81</v>
      </c>
      <c r="AM22" s="19">
        <f t="shared" si="15"/>
        <v>81</v>
      </c>
      <c r="AN22" s="19">
        <f t="shared" si="26"/>
        <v>235</v>
      </c>
      <c r="AO22" s="19">
        <f t="shared" si="20"/>
        <v>167.5</v>
      </c>
      <c r="AP22" s="19">
        <f t="shared" si="21"/>
        <v>239</v>
      </c>
      <c r="AQ22" s="19">
        <f t="shared" si="22"/>
        <v>428</v>
      </c>
      <c r="AR22" s="47">
        <f t="shared" si="23"/>
        <v>-176.2</v>
      </c>
      <c r="AS22" s="85"/>
      <c r="AT22" s="85"/>
    </row>
    <row r="23" spans="1:46">
      <c r="A23" s="30">
        <f t="shared" si="0"/>
        <v>45830</v>
      </c>
      <c r="B23" s="31">
        <v>45830</v>
      </c>
      <c r="C23" s="32" t="s">
        <v>157</v>
      </c>
      <c r="D23" s="33">
        <v>0</v>
      </c>
      <c r="E23" s="35">
        <f t="shared" si="10"/>
        <v>2.0833333333333332E-2</v>
      </c>
      <c r="F23" s="34">
        <v>30</v>
      </c>
      <c r="G23" s="33">
        <v>0.16666666666666666</v>
      </c>
      <c r="H23" s="36">
        <f t="shared" si="11"/>
        <v>210</v>
      </c>
      <c r="I23" s="37">
        <f t="shared" si="12"/>
        <v>0.14027777777777778</v>
      </c>
      <c r="J23" s="4">
        <v>5</v>
      </c>
      <c r="K23" s="7"/>
      <c r="L23" s="2">
        <v>3.9583333333333331E-2</v>
      </c>
      <c r="M23" s="2">
        <v>4.583333333333333E-2</v>
      </c>
      <c r="N23" s="83">
        <v>0.13680555555555557</v>
      </c>
      <c r="O23" s="45">
        <v>0.13958333333333334</v>
      </c>
      <c r="P23" s="47">
        <v>1.47393</v>
      </c>
      <c r="Q23" s="85" t="s">
        <v>45</v>
      </c>
      <c r="R23" s="85" t="s">
        <v>45</v>
      </c>
      <c r="S23" t="s">
        <v>45</v>
      </c>
      <c r="T23" t="s">
        <v>45</v>
      </c>
      <c r="U23" s="7"/>
      <c r="V23" s="13">
        <f t="shared" si="17"/>
        <v>8.9999999999999982</v>
      </c>
      <c r="W23" s="13">
        <f t="shared" si="17"/>
        <v>131</v>
      </c>
      <c r="X23" s="40">
        <f t="shared" si="18"/>
        <v>57</v>
      </c>
      <c r="Y23" s="4">
        <f t="shared" si="18"/>
        <v>36</v>
      </c>
      <c r="Z23" s="4">
        <f t="shared" si="1"/>
        <v>-42.999999999999964</v>
      </c>
      <c r="AA23" s="4">
        <f t="shared" si="2"/>
        <v>-22</v>
      </c>
      <c r="AB23" s="4">
        <f t="shared" si="3"/>
        <v>-38.999999999999979</v>
      </c>
      <c r="AC23" s="13">
        <f t="shared" si="4"/>
        <v>4</v>
      </c>
      <c r="AD23" s="15">
        <f t="shared" si="5"/>
        <v>99.999999999999972</v>
      </c>
      <c r="AG23" s="18">
        <v>0</v>
      </c>
      <c r="AH23" s="19">
        <f t="shared" si="6"/>
        <v>30</v>
      </c>
      <c r="AI23" s="19">
        <f t="shared" si="7"/>
        <v>240</v>
      </c>
      <c r="AJ23" s="20">
        <f t="shared" si="19"/>
        <v>47</v>
      </c>
      <c r="AK23" s="19">
        <f t="shared" si="25"/>
        <v>47</v>
      </c>
      <c r="AL23" s="19">
        <f t="shared" si="14"/>
        <v>66</v>
      </c>
      <c r="AM23" s="19">
        <f t="shared" si="15"/>
        <v>66</v>
      </c>
      <c r="AN23" s="19">
        <f t="shared" si="26"/>
        <v>197</v>
      </c>
      <c r="AO23" s="19">
        <f t="shared" si="20"/>
        <v>148.5</v>
      </c>
      <c r="AP23" s="19">
        <f t="shared" si="21"/>
        <v>201</v>
      </c>
      <c r="AQ23" s="19">
        <f t="shared" si="22"/>
        <v>450</v>
      </c>
      <c r="AR23" s="47">
        <f t="shared" si="23"/>
        <v>-176.30349999999999</v>
      </c>
      <c r="AS23" s="85"/>
      <c r="AT23" s="85"/>
    </row>
    <row r="24" spans="1:46">
      <c r="A24" s="30">
        <f t="shared" si="0"/>
        <v>45831</v>
      </c>
      <c r="B24" s="31">
        <v>45831</v>
      </c>
      <c r="C24" s="32" t="s">
        <v>157</v>
      </c>
      <c r="D24" s="33">
        <v>0</v>
      </c>
      <c r="E24" s="35">
        <f t="shared" si="10"/>
        <v>2.0833333333333332E-2</v>
      </c>
      <c r="F24" s="34">
        <v>30</v>
      </c>
      <c r="G24" s="33">
        <v>0.16666666666666666</v>
      </c>
      <c r="H24" s="36">
        <f t="shared" si="11"/>
        <v>210</v>
      </c>
      <c r="I24" s="37">
        <f t="shared" si="12"/>
        <v>0.15972222222222221</v>
      </c>
      <c r="J24" s="4">
        <v>5</v>
      </c>
      <c r="K24" s="7"/>
      <c r="L24" s="2">
        <v>3.888888888888889E-2</v>
      </c>
      <c r="M24" s="2">
        <v>4.3749999999999997E-2</v>
      </c>
      <c r="N24" s="83">
        <v>0.15625</v>
      </c>
      <c r="O24" s="45">
        <v>0.15902777777777777</v>
      </c>
      <c r="P24" s="47">
        <v>1.37632</v>
      </c>
      <c r="Q24" s="85" t="s">
        <v>44</v>
      </c>
      <c r="R24" s="85" t="s">
        <v>45</v>
      </c>
      <c r="S24" t="s">
        <v>45</v>
      </c>
      <c r="T24" t="s">
        <v>45</v>
      </c>
      <c r="U24" s="7"/>
      <c r="V24" s="13">
        <f t="shared" si="17"/>
        <v>6.9999999999999947</v>
      </c>
      <c r="W24" s="13">
        <f t="shared" si="17"/>
        <v>162</v>
      </c>
      <c r="X24" s="40">
        <f t="shared" si="18"/>
        <v>56</v>
      </c>
      <c r="Y24" s="4">
        <f t="shared" si="18"/>
        <v>33</v>
      </c>
      <c r="Z24" s="4">
        <f t="shared" si="1"/>
        <v>-14.999999999999986</v>
      </c>
      <c r="AA24" s="4">
        <f t="shared" si="2"/>
        <v>8</v>
      </c>
      <c r="AB24" s="4">
        <f t="shared" si="3"/>
        <v>-11</v>
      </c>
      <c r="AC24" s="13">
        <f t="shared" si="4"/>
        <v>4</v>
      </c>
      <c r="AD24" s="15">
        <f t="shared" si="5"/>
        <v>70.999999999999986</v>
      </c>
      <c r="AG24" s="18">
        <v>0</v>
      </c>
      <c r="AH24" s="19">
        <f t="shared" si="6"/>
        <v>30</v>
      </c>
      <c r="AI24" s="19">
        <f t="shared" si="7"/>
        <v>240</v>
      </c>
      <c r="AJ24" s="20">
        <f t="shared" si="19"/>
        <v>46</v>
      </c>
      <c r="AK24" s="19">
        <f t="shared" si="25"/>
        <v>46</v>
      </c>
      <c r="AL24" s="19">
        <f t="shared" si="14"/>
        <v>63</v>
      </c>
      <c r="AM24" s="19">
        <f t="shared" si="15"/>
        <v>63</v>
      </c>
      <c r="AN24" s="19">
        <f t="shared" si="26"/>
        <v>225</v>
      </c>
      <c r="AO24" s="19">
        <f t="shared" si="20"/>
        <v>162.5</v>
      </c>
      <c r="AP24" s="19">
        <f t="shared" si="21"/>
        <v>229</v>
      </c>
      <c r="AQ24" s="19">
        <f t="shared" si="22"/>
        <v>421</v>
      </c>
      <c r="AR24" s="47">
        <f t="shared" si="23"/>
        <v>-181.184</v>
      </c>
      <c r="AS24" s="85">
        <f t="shared" si="9"/>
        <v>-225</v>
      </c>
      <c r="AT24" s="85"/>
    </row>
    <row r="25" spans="1:46">
      <c r="A25" s="30">
        <f t="shared" si="0"/>
        <v>45832</v>
      </c>
      <c r="B25" s="31">
        <v>45832</v>
      </c>
      <c r="C25" s="32" t="s">
        <v>157</v>
      </c>
      <c r="D25" s="33">
        <v>0</v>
      </c>
      <c r="E25" s="35">
        <f t="shared" si="10"/>
        <v>2.0833333333333332E-2</v>
      </c>
      <c r="F25" s="34">
        <v>30</v>
      </c>
      <c r="G25" s="33">
        <v>0.16666666666666666</v>
      </c>
      <c r="H25" s="36">
        <f t="shared" si="11"/>
        <v>210</v>
      </c>
      <c r="I25" s="37">
        <f t="shared" si="12"/>
        <v>0.12986111111111109</v>
      </c>
      <c r="J25" s="4">
        <v>5</v>
      </c>
      <c r="K25" s="7"/>
      <c r="L25" s="2">
        <v>3.9583333333333331E-2</v>
      </c>
      <c r="M25" s="2">
        <v>4.4444444444444446E-2</v>
      </c>
      <c r="N25" s="83">
        <v>0.12638888888888888</v>
      </c>
      <c r="O25" s="45">
        <v>0.12916666666666668</v>
      </c>
      <c r="P25" s="47">
        <v>1.37677</v>
      </c>
      <c r="Q25" s="85" t="s">
        <v>45</v>
      </c>
      <c r="R25" s="85" t="s">
        <v>44</v>
      </c>
      <c r="S25" t="s">
        <v>45</v>
      </c>
      <c r="T25" t="s">
        <v>45</v>
      </c>
      <c r="U25" s="7"/>
      <c r="V25" s="13">
        <f t="shared" si="17"/>
        <v>7.0000000000000053</v>
      </c>
      <c r="W25" s="13">
        <f t="shared" si="17"/>
        <v>117.99999999999999</v>
      </c>
      <c r="X25" s="40">
        <f t="shared" si="18"/>
        <v>57</v>
      </c>
      <c r="Y25" s="4">
        <f t="shared" si="18"/>
        <v>34.000000000000007</v>
      </c>
      <c r="Z25" s="4">
        <f t="shared" si="1"/>
        <v>-57.999999999999993</v>
      </c>
      <c r="AA25" s="4">
        <f t="shared" si="2"/>
        <v>-35.000000000000014</v>
      </c>
      <c r="AB25" s="4">
        <f t="shared" si="3"/>
        <v>-53.999999999999972</v>
      </c>
      <c r="AC25" s="13">
        <f t="shared" si="4"/>
        <v>4</v>
      </c>
      <c r="AD25" s="15">
        <f t="shared" si="5"/>
        <v>115</v>
      </c>
      <c r="AG25" s="18">
        <v>0</v>
      </c>
      <c r="AH25" s="19">
        <f t="shared" si="6"/>
        <v>30</v>
      </c>
      <c r="AI25" s="19">
        <f t="shared" si="7"/>
        <v>240</v>
      </c>
      <c r="AJ25" s="20">
        <f t="shared" si="19"/>
        <v>47</v>
      </c>
      <c r="AK25" s="19">
        <f t="shared" si="25"/>
        <v>47</v>
      </c>
      <c r="AL25" s="19">
        <f t="shared" si="14"/>
        <v>64</v>
      </c>
      <c r="AM25" s="19">
        <f t="shared" si="15"/>
        <v>64</v>
      </c>
      <c r="AN25" s="19">
        <f t="shared" si="26"/>
        <v>182</v>
      </c>
      <c r="AO25" s="19">
        <f t="shared" si="20"/>
        <v>141</v>
      </c>
      <c r="AP25" s="19">
        <f t="shared" si="21"/>
        <v>186</v>
      </c>
      <c r="AQ25" s="19">
        <f t="shared" si="22"/>
        <v>465</v>
      </c>
      <c r="AR25" s="47">
        <f t="shared" si="23"/>
        <v>-181.16149999999999</v>
      </c>
      <c r="AS25" s="85"/>
      <c r="AT25" s="85">
        <f t="shared" si="16"/>
        <v>-210</v>
      </c>
    </row>
    <row r="26" spans="1:46">
      <c r="A26" s="30">
        <f t="shared" si="0"/>
        <v>45833</v>
      </c>
      <c r="B26" s="31">
        <v>45833</v>
      </c>
      <c r="C26" s="32" t="s">
        <v>157</v>
      </c>
      <c r="D26" s="33">
        <v>0</v>
      </c>
      <c r="E26" s="35">
        <f t="shared" si="10"/>
        <v>2.0833333333333332E-2</v>
      </c>
      <c r="F26" s="34">
        <v>30</v>
      </c>
      <c r="G26" s="33">
        <v>0.16666666666666666</v>
      </c>
      <c r="H26" s="36">
        <f t="shared" si="11"/>
        <v>210</v>
      </c>
      <c r="I26" s="37">
        <f t="shared" si="12"/>
        <v>0.15625</v>
      </c>
      <c r="J26" s="4">
        <v>5</v>
      </c>
      <c r="K26" s="7"/>
      <c r="L26" s="2">
        <v>2.7083333333333334E-2</v>
      </c>
      <c r="M26" s="2">
        <v>0.05</v>
      </c>
      <c r="N26" s="83">
        <v>0.15277777777777779</v>
      </c>
      <c r="O26" s="45">
        <v>0.15625</v>
      </c>
      <c r="P26" s="47">
        <v>1.4114800000000001</v>
      </c>
      <c r="Q26" s="85" t="s">
        <v>45</v>
      </c>
      <c r="R26" s="85" t="s">
        <v>44</v>
      </c>
      <c r="S26" t="s">
        <v>45</v>
      </c>
      <c r="T26" t="s">
        <v>45</v>
      </c>
      <c r="U26" s="7"/>
      <c r="V26" s="13">
        <f t="shared" si="17"/>
        <v>33</v>
      </c>
      <c r="W26" s="13">
        <f t="shared" si="17"/>
        <v>148</v>
      </c>
      <c r="X26" s="40">
        <f t="shared" si="18"/>
        <v>39</v>
      </c>
      <c r="Y26" s="4">
        <f t="shared" si="18"/>
        <v>42.000000000000007</v>
      </c>
      <c r="Z26" s="4">
        <f t="shared" si="1"/>
        <v>-19.999999999999968</v>
      </c>
      <c r="AA26" s="4">
        <f t="shared" si="2"/>
        <v>-23</v>
      </c>
      <c r="AB26" s="4">
        <f t="shared" si="3"/>
        <v>-14.999999999999986</v>
      </c>
      <c r="AC26" s="13">
        <f t="shared" si="4"/>
        <v>5</v>
      </c>
      <c r="AD26" s="15">
        <f t="shared" si="5"/>
        <v>58.999999999999972</v>
      </c>
      <c r="AG26" s="18">
        <v>0</v>
      </c>
      <c r="AH26" s="19">
        <f t="shared" si="6"/>
        <v>30</v>
      </c>
      <c r="AI26" s="19">
        <f t="shared" si="7"/>
        <v>240</v>
      </c>
      <c r="AJ26" s="20">
        <f t="shared" si="19"/>
        <v>29</v>
      </c>
      <c r="AK26" s="19">
        <f t="shared" si="25"/>
        <v>29</v>
      </c>
      <c r="AL26" s="19">
        <f t="shared" si="14"/>
        <v>72</v>
      </c>
      <c r="AM26" s="19">
        <f t="shared" si="15"/>
        <v>72</v>
      </c>
      <c r="AN26" s="19">
        <f t="shared" si="26"/>
        <v>220</v>
      </c>
      <c r="AO26" s="19">
        <f t="shared" si="20"/>
        <v>160</v>
      </c>
      <c r="AP26" s="19">
        <f t="shared" si="21"/>
        <v>225</v>
      </c>
      <c r="AQ26" s="19">
        <f t="shared" si="22"/>
        <v>409</v>
      </c>
      <c r="AR26" s="47">
        <f t="shared" si="23"/>
        <v>-179.42599999999999</v>
      </c>
      <c r="AS26" s="85"/>
      <c r="AT26" s="85">
        <f t="shared" si="16"/>
        <v>-210</v>
      </c>
    </row>
    <row r="27" spans="1:46">
      <c r="A27" s="30">
        <f t="shared" si="0"/>
        <v>45834</v>
      </c>
      <c r="B27" s="31">
        <v>45834</v>
      </c>
      <c r="C27" s="32" t="s">
        <v>157</v>
      </c>
      <c r="D27" s="33">
        <v>0</v>
      </c>
      <c r="E27" s="35">
        <f t="shared" si="10"/>
        <v>2.0833333333333332E-2</v>
      </c>
      <c r="F27" s="34">
        <v>30</v>
      </c>
      <c r="G27" s="33">
        <v>0.16666666666666666</v>
      </c>
      <c r="H27" s="36">
        <f t="shared" si="11"/>
        <v>210</v>
      </c>
      <c r="I27" s="37">
        <f t="shared" si="12"/>
        <v>0.13541666666666666</v>
      </c>
      <c r="J27" s="4">
        <v>5</v>
      </c>
      <c r="K27" s="7"/>
      <c r="L27" s="2">
        <v>3.7499999999999999E-2</v>
      </c>
      <c r="M27" s="2">
        <v>5.2777777777777778E-2</v>
      </c>
      <c r="N27" s="83">
        <v>0.13194444444444445</v>
      </c>
      <c r="O27" s="45">
        <v>0.13472222222222222</v>
      </c>
      <c r="P27" s="47">
        <v>1.37842</v>
      </c>
      <c r="Q27" s="85" t="s">
        <v>45</v>
      </c>
      <c r="R27" s="85" t="s">
        <v>45</v>
      </c>
      <c r="S27" t="s">
        <v>45</v>
      </c>
      <c r="T27" t="s">
        <v>45</v>
      </c>
      <c r="U27" s="7"/>
      <c r="V27" s="13">
        <f t="shared" si="17"/>
        <v>22</v>
      </c>
      <c r="W27" s="13">
        <f t="shared" si="17"/>
        <v>114</v>
      </c>
      <c r="X27" s="40">
        <f t="shared" si="18"/>
        <v>54</v>
      </c>
      <c r="Y27" s="4">
        <f t="shared" si="18"/>
        <v>46</v>
      </c>
      <c r="Z27" s="4">
        <f t="shared" si="1"/>
        <v>-49.999999999999986</v>
      </c>
      <c r="AA27" s="4">
        <f t="shared" si="2"/>
        <v>-42</v>
      </c>
      <c r="AB27" s="4">
        <f t="shared" si="3"/>
        <v>-46</v>
      </c>
      <c r="AC27" s="13">
        <f t="shared" si="4"/>
        <v>4</v>
      </c>
      <c r="AD27" s="15">
        <f t="shared" si="5"/>
        <v>103.99999999999999</v>
      </c>
      <c r="AG27" s="18">
        <v>0</v>
      </c>
      <c r="AH27" s="19">
        <f t="shared" si="6"/>
        <v>30</v>
      </c>
      <c r="AI27" s="19">
        <f t="shared" si="7"/>
        <v>240</v>
      </c>
      <c r="AJ27" s="20">
        <f t="shared" si="19"/>
        <v>44</v>
      </c>
      <c r="AK27" s="19">
        <f t="shared" si="25"/>
        <v>44</v>
      </c>
      <c r="AL27" s="19">
        <f t="shared" si="14"/>
        <v>76</v>
      </c>
      <c r="AM27" s="19">
        <f t="shared" si="15"/>
        <v>76</v>
      </c>
      <c r="AN27" s="19">
        <f t="shared" si="26"/>
        <v>190</v>
      </c>
      <c r="AO27" s="19">
        <f t="shared" si="20"/>
        <v>145</v>
      </c>
      <c r="AP27" s="19">
        <f t="shared" si="21"/>
        <v>194</v>
      </c>
      <c r="AQ27" s="19">
        <f t="shared" si="22"/>
        <v>454</v>
      </c>
      <c r="AR27" s="47">
        <f t="shared" si="23"/>
        <v>-181.07900000000001</v>
      </c>
      <c r="AS27" s="85"/>
      <c r="AT27" s="85"/>
    </row>
    <row r="28" spans="1:46">
      <c r="A28" s="30">
        <f t="shared" si="0"/>
        <v>45835</v>
      </c>
      <c r="B28" s="31">
        <v>45835</v>
      </c>
      <c r="C28" s="32" t="s">
        <v>157</v>
      </c>
      <c r="D28" s="33">
        <v>0</v>
      </c>
      <c r="E28" s="35">
        <f t="shared" si="10"/>
        <v>2.0833333333333332E-2</v>
      </c>
      <c r="F28" s="34">
        <v>30</v>
      </c>
      <c r="G28" s="33">
        <v>0.16666666666666666</v>
      </c>
      <c r="H28" s="36">
        <f t="shared" si="11"/>
        <v>210</v>
      </c>
      <c r="I28" s="37">
        <f t="shared" si="12"/>
        <v>0.14513888888888887</v>
      </c>
      <c r="J28" s="4">
        <v>5</v>
      </c>
      <c r="K28" s="7"/>
      <c r="L28" s="2">
        <v>3.4027777777777775E-2</v>
      </c>
      <c r="M28" s="2">
        <v>4.9305555555555554E-2</v>
      </c>
      <c r="N28" s="83">
        <v>0.14166666666666666</v>
      </c>
      <c r="O28" s="45">
        <v>0.14444444444444443</v>
      </c>
      <c r="P28" s="47">
        <v>1.41858</v>
      </c>
      <c r="Q28" s="85" t="s">
        <v>45</v>
      </c>
      <c r="R28" s="85" t="s">
        <v>44</v>
      </c>
      <c r="S28" t="s">
        <v>45</v>
      </c>
      <c r="T28" t="s">
        <v>45</v>
      </c>
      <c r="U28" s="7"/>
      <c r="V28" s="13">
        <f t="shared" si="17"/>
        <v>22</v>
      </c>
      <c r="W28" s="13">
        <f t="shared" si="17"/>
        <v>133</v>
      </c>
      <c r="X28" s="40">
        <f t="shared" si="18"/>
        <v>48.999999999999993</v>
      </c>
      <c r="Y28" s="4">
        <f t="shared" si="18"/>
        <v>41</v>
      </c>
      <c r="Z28" s="4">
        <f t="shared" si="1"/>
        <v>-35.999999999999993</v>
      </c>
      <c r="AA28" s="4">
        <f t="shared" si="2"/>
        <v>-28</v>
      </c>
      <c r="AB28" s="4">
        <f t="shared" si="3"/>
        <v>-32.000000000000007</v>
      </c>
      <c r="AC28" s="13">
        <f t="shared" si="4"/>
        <v>4</v>
      </c>
      <c r="AD28" s="15">
        <f t="shared" si="5"/>
        <v>84.999999999999986</v>
      </c>
      <c r="AG28" s="18">
        <v>0</v>
      </c>
      <c r="AH28" s="19">
        <f t="shared" si="6"/>
        <v>30</v>
      </c>
      <c r="AI28" s="19">
        <f t="shared" si="7"/>
        <v>240</v>
      </c>
      <c r="AJ28" s="20">
        <f t="shared" si="19"/>
        <v>38.999999999999993</v>
      </c>
      <c r="AK28" s="19">
        <f t="shared" si="25"/>
        <v>38.999999999999993</v>
      </c>
      <c r="AL28" s="19">
        <f t="shared" si="14"/>
        <v>71</v>
      </c>
      <c r="AM28" s="19">
        <f t="shared" si="15"/>
        <v>71</v>
      </c>
      <c r="AN28" s="19">
        <f t="shared" si="26"/>
        <v>204</v>
      </c>
      <c r="AO28" s="19">
        <f t="shared" si="20"/>
        <v>152</v>
      </c>
      <c r="AP28" s="19">
        <f t="shared" si="21"/>
        <v>208</v>
      </c>
      <c r="AQ28" s="19">
        <f t="shared" si="22"/>
        <v>435</v>
      </c>
      <c r="AR28" s="47">
        <f t="shared" si="23"/>
        <v>-179.071</v>
      </c>
      <c r="AS28" s="85"/>
      <c r="AT28" s="85">
        <f t="shared" si="16"/>
        <v>-210</v>
      </c>
    </row>
    <row r="29" spans="1:46">
      <c r="A29" s="30">
        <f t="shared" si="0"/>
        <v>45836</v>
      </c>
      <c r="B29" s="31">
        <v>45836</v>
      </c>
      <c r="C29" s="32" t="s">
        <v>157</v>
      </c>
      <c r="D29" s="33">
        <v>0</v>
      </c>
      <c r="E29" s="35">
        <f t="shared" si="10"/>
        <v>2.0833333333333332E-2</v>
      </c>
      <c r="F29" s="34">
        <v>30</v>
      </c>
      <c r="G29" s="33">
        <v>0.16666666666666666</v>
      </c>
      <c r="H29" s="36">
        <f t="shared" si="11"/>
        <v>210</v>
      </c>
      <c r="I29" s="37">
        <f t="shared" si="12"/>
        <v>0.16249999999999998</v>
      </c>
      <c r="J29" s="4">
        <v>5</v>
      </c>
      <c r="K29" s="7"/>
      <c r="L29" s="2">
        <v>5.2083333333333336E-2</v>
      </c>
      <c r="M29" s="2">
        <v>6.1805555555555558E-2</v>
      </c>
      <c r="N29" s="83">
        <v>0.15902777777777777</v>
      </c>
      <c r="O29" s="45">
        <v>0.16180555555555556</v>
      </c>
      <c r="P29" s="47">
        <v>1.3705799999999999</v>
      </c>
      <c r="Q29" s="85" t="s">
        <v>44</v>
      </c>
      <c r="R29" s="85" t="s">
        <v>45</v>
      </c>
      <c r="S29" t="s">
        <v>45</v>
      </c>
      <c r="T29" t="s">
        <v>45</v>
      </c>
      <c r="U29" s="7"/>
      <c r="V29" s="13">
        <f t="shared" si="17"/>
        <v>14</v>
      </c>
      <c r="W29" s="13">
        <f t="shared" si="17"/>
        <v>139.99999999999997</v>
      </c>
      <c r="X29" s="40">
        <f t="shared" si="18"/>
        <v>75</v>
      </c>
      <c r="Y29" s="4">
        <f t="shared" si="18"/>
        <v>59.000000000000007</v>
      </c>
      <c r="Z29" s="4">
        <f t="shared" si="1"/>
        <v>-11</v>
      </c>
      <c r="AA29" s="4">
        <f t="shared" si="2"/>
        <v>4.9999999999999716</v>
      </c>
      <c r="AB29" s="4">
        <f t="shared" si="3"/>
        <v>-6.9999999999999751</v>
      </c>
      <c r="AC29" s="13">
        <f t="shared" si="4"/>
        <v>4</v>
      </c>
      <c r="AD29" s="15">
        <f t="shared" si="5"/>
        <v>86</v>
      </c>
      <c r="AG29" s="18">
        <v>0</v>
      </c>
      <c r="AH29" s="19">
        <f t="shared" si="6"/>
        <v>30</v>
      </c>
      <c r="AI29" s="19">
        <f t="shared" si="7"/>
        <v>240</v>
      </c>
      <c r="AJ29" s="20">
        <f t="shared" si="19"/>
        <v>65</v>
      </c>
      <c r="AK29" s="19">
        <f t="shared" si="25"/>
        <v>65</v>
      </c>
      <c r="AL29" s="19">
        <f t="shared" si="14"/>
        <v>89</v>
      </c>
      <c r="AM29" s="19">
        <f t="shared" si="15"/>
        <v>89</v>
      </c>
      <c r="AN29" s="19">
        <f t="shared" si="26"/>
        <v>228.99999999999997</v>
      </c>
      <c r="AO29" s="19">
        <f t="shared" si="20"/>
        <v>164.5</v>
      </c>
      <c r="AP29" s="19">
        <f t="shared" si="21"/>
        <v>232.99999999999997</v>
      </c>
      <c r="AQ29" s="19">
        <f t="shared" si="22"/>
        <v>436</v>
      </c>
      <c r="AR29" s="47">
        <f t="shared" si="23"/>
        <v>-181.471</v>
      </c>
      <c r="AS29" s="85">
        <f t="shared" si="9"/>
        <v>-225</v>
      </c>
      <c r="AT29" s="85"/>
    </row>
    <row r="30" spans="1:46">
      <c r="A30" s="30">
        <f t="shared" si="0"/>
        <v>45837</v>
      </c>
      <c r="B30" s="31">
        <v>45837</v>
      </c>
      <c r="C30" s="32" t="s">
        <v>157</v>
      </c>
      <c r="D30" s="33">
        <v>0</v>
      </c>
      <c r="E30" s="35">
        <f t="shared" si="10"/>
        <v>2.0833333333333332E-2</v>
      </c>
      <c r="F30" s="34">
        <v>30</v>
      </c>
      <c r="G30" s="33">
        <v>0.16666666666666666</v>
      </c>
      <c r="H30" s="36">
        <f t="shared" si="11"/>
        <v>210</v>
      </c>
      <c r="I30" s="37">
        <f t="shared" si="12"/>
        <v>0.1423611111111111</v>
      </c>
      <c r="J30" s="4">
        <v>5</v>
      </c>
      <c r="K30" s="7"/>
      <c r="L30" s="2">
        <v>4.8611111111111112E-2</v>
      </c>
      <c r="M30" s="2">
        <v>5.486111111111111E-2</v>
      </c>
      <c r="N30" s="2">
        <v>0.1388888888888889</v>
      </c>
      <c r="O30" s="2">
        <v>0.14166666666666666</v>
      </c>
      <c r="P30" s="47">
        <v>1.4737899999999999</v>
      </c>
      <c r="Q30" s="85" t="s">
        <v>45</v>
      </c>
      <c r="R30" s="85" t="s">
        <v>45</v>
      </c>
      <c r="S30" t="s">
        <v>45</v>
      </c>
      <c r="T30" t="s">
        <v>45</v>
      </c>
      <c r="U30" s="7"/>
      <c r="V30" s="13">
        <f t="shared" si="17"/>
        <v>8.9999999999999982</v>
      </c>
      <c r="W30" s="13">
        <f t="shared" si="17"/>
        <v>121.00000000000001</v>
      </c>
      <c r="X30" s="40">
        <f t="shared" si="18"/>
        <v>70</v>
      </c>
      <c r="Y30" s="4">
        <f t="shared" si="18"/>
        <v>49.000000000000007</v>
      </c>
      <c r="Z30" s="4">
        <f t="shared" si="1"/>
        <v>-39.999999999999979</v>
      </c>
      <c r="AA30" s="4">
        <f t="shared" si="2"/>
        <v>-18.999999999999986</v>
      </c>
      <c r="AB30" s="4">
        <f t="shared" si="3"/>
        <v>-35.999999999999993</v>
      </c>
      <c r="AC30" s="13">
        <f t="shared" si="4"/>
        <v>4</v>
      </c>
      <c r="AD30" s="15">
        <f t="shared" si="5"/>
        <v>109.99999999999997</v>
      </c>
      <c r="AG30" s="18">
        <v>0</v>
      </c>
      <c r="AH30" s="19">
        <f t="shared" si="6"/>
        <v>30</v>
      </c>
      <c r="AI30" s="19">
        <f t="shared" si="7"/>
        <v>240</v>
      </c>
      <c r="AJ30" s="20">
        <f t="shared" si="19"/>
        <v>60</v>
      </c>
      <c r="AK30" s="19">
        <f t="shared" si="25"/>
        <v>60</v>
      </c>
      <c r="AL30" s="19">
        <f t="shared" si="14"/>
        <v>79</v>
      </c>
      <c r="AM30" s="19">
        <f t="shared" si="15"/>
        <v>79</v>
      </c>
      <c r="AN30" s="19">
        <f t="shared" si="26"/>
        <v>200</v>
      </c>
      <c r="AO30" s="19">
        <f t="shared" si="20"/>
        <v>150</v>
      </c>
      <c r="AP30" s="19">
        <f t="shared" si="21"/>
        <v>204</v>
      </c>
      <c r="AQ30" s="19">
        <f t="shared" si="22"/>
        <v>460</v>
      </c>
      <c r="AR30" s="47">
        <f t="shared" si="23"/>
        <v>-176.31049999999999</v>
      </c>
      <c r="AS30" s="85"/>
      <c r="AT30" s="85"/>
    </row>
    <row r="31" spans="1:46">
      <c r="A31" s="30">
        <f t="shared" si="0"/>
        <v>45838</v>
      </c>
      <c r="B31" s="31">
        <v>45838</v>
      </c>
      <c r="C31" s="32" t="s">
        <v>157</v>
      </c>
      <c r="D31" s="33">
        <v>0</v>
      </c>
      <c r="E31" s="35">
        <f t="shared" si="10"/>
        <v>2.0833333333333332E-2</v>
      </c>
      <c r="F31" s="34">
        <v>30</v>
      </c>
      <c r="G31" s="33">
        <v>0.16666666666666666</v>
      </c>
      <c r="H31" s="36">
        <f t="shared" si="11"/>
        <v>210</v>
      </c>
      <c r="I31" s="37">
        <f t="shared" si="12"/>
        <v>0.13888888888888887</v>
      </c>
      <c r="J31" s="4">
        <v>5</v>
      </c>
      <c r="K31" s="7"/>
      <c r="L31" s="2">
        <v>4.8611111111111112E-2</v>
      </c>
      <c r="M31" s="2">
        <v>5.347222222222222E-2</v>
      </c>
      <c r="N31" s="2">
        <v>0.13541666666666666</v>
      </c>
      <c r="O31" s="2">
        <v>0.13819444444444445</v>
      </c>
      <c r="P31" s="47">
        <v>1.37304</v>
      </c>
      <c r="Q31" s="85" t="s">
        <v>45</v>
      </c>
      <c r="R31" s="85" t="s">
        <v>45</v>
      </c>
      <c r="S31" t="s">
        <v>45</v>
      </c>
      <c r="T31" t="s">
        <v>45</v>
      </c>
      <c r="U31" s="7"/>
      <c r="V31" s="13">
        <f t="shared" si="17"/>
        <v>6.9999999999999947</v>
      </c>
      <c r="W31" s="13">
        <f t="shared" si="17"/>
        <v>117.99999999999999</v>
      </c>
      <c r="X31" s="40">
        <f t="shared" si="18"/>
        <v>70</v>
      </c>
      <c r="Y31" s="4">
        <f t="shared" si="18"/>
        <v>46.999999999999993</v>
      </c>
      <c r="Z31" s="4">
        <f t="shared" si="1"/>
        <v>-45</v>
      </c>
      <c r="AA31" s="4">
        <f t="shared" si="2"/>
        <v>-22.000000000000014</v>
      </c>
      <c r="AB31" s="4">
        <f t="shared" si="3"/>
        <v>-40.999999999999972</v>
      </c>
      <c r="AC31" s="13">
        <f t="shared" si="4"/>
        <v>4</v>
      </c>
      <c r="AD31" s="15">
        <f t="shared" si="5"/>
        <v>115</v>
      </c>
      <c r="AG31" s="18">
        <v>0</v>
      </c>
      <c r="AH31" s="19">
        <f t="shared" si="6"/>
        <v>30</v>
      </c>
      <c r="AI31" s="19">
        <f t="shared" si="7"/>
        <v>240</v>
      </c>
      <c r="AJ31" s="20">
        <f t="shared" si="19"/>
        <v>60</v>
      </c>
      <c r="AK31" s="19">
        <f t="shared" si="25"/>
        <v>60</v>
      </c>
      <c r="AL31" s="19">
        <f t="shared" si="14"/>
        <v>77</v>
      </c>
      <c r="AM31" s="19">
        <f t="shared" si="15"/>
        <v>77</v>
      </c>
      <c r="AN31" s="19">
        <f t="shared" si="26"/>
        <v>195</v>
      </c>
      <c r="AO31" s="19">
        <f t="shared" si="20"/>
        <v>147.5</v>
      </c>
      <c r="AP31" s="19">
        <f t="shared" si="21"/>
        <v>199</v>
      </c>
      <c r="AQ31" s="19">
        <f t="shared" si="22"/>
        <v>465</v>
      </c>
      <c r="AR31" s="47">
        <f t="shared" si="23"/>
        <v>-181.34800000000001</v>
      </c>
      <c r="AS31" s="85"/>
      <c r="AT31" s="85"/>
    </row>
    <row r="32" spans="1:46" hidden="1">
      <c r="A32" s="30">
        <f t="shared" si="0"/>
        <v>45839</v>
      </c>
      <c r="B32" s="31">
        <v>45839</v>
      </c>
      <c r="C32" s="32" t="s">
        <v>157</v>
      </c>
      <c r="D32" s="33">
        <v>0</v>
      </c>
      <c r="E32" s="35">
        <f t="shared" si="10"/>
        <v>2.0833333333333332E-2</v>
      </c>
      <c r="F32" s="34">
        <v>30</v>
      </c>
      <c r="G32" s="33">
        <v>0.16666666666666666</v>
      </c>
      <c r="H32" s="36">
        <f t="shared" si="11"/>
        <v>210</v>
      </c>
      <c r="I32" s="37">
        <f t="shared" si="12"/>
        <v>3.472222222222222E-3</v>
      </c>
      <c r="J32" s="4">
        <v>5</v>
      </c>
      <c r="L32" s="2"/>
      <c r="M32" s="2"/>
      <c r="N32" s="2"/>
      <c r="O32" s="2"/>
      <c r="P32" s="47"/>
      <c r="S32" t="s">
        <v>45</v>
      </c>
      <c r="T32" t="s">
        <v>45</v>
      </c>
      <c r="V32" s="13">
        <f t="shared" si="17"/>
        <v>0</v>
      </c>
      <c r="W32" s="13">
        <f t="shared" si="17"/>
        <v>0</v>
      </c>
      <c r="X32" s="40">
        <f t="shared" si="18"/>
        <v>0</v>
      </c>
      <c r="Y32" s="4">
        <f t="shared" si="18"/>
        <v>-30</v>
      </c>
      <c r="Z32" s="4">
        <f t="shared" si="1"/>
        <v>-240</v>
      </c>
      <c r="AA32" s="4">
        <f t="shared" si="2"/>
        <v>-210</v>
      </c>
      <c r="AB32" s="4">
        <f t="shared" si="3"/>
        <v>-240</v>
      </c>
      <c r="AC32" s="13">
        <f t="shared" si="4"/>
        <v>0</v>
      </c>
      <c r="AD32" s="15">
        <f t="shared" si="5"/>
        <v>240</v>
      </c>
      <c r="AG32" s="18">
        <v>0</v>
      </c>
      <c r="AH32" s="19">
        <f t="shared" si="6"/>
        <v>30</v>
      </c>
      <c r="AI32" s="19">
        <f t="shared" si="7"/>
        <v>240</v>
      </c>
      <c r="AJ32" s="20">
        <f t="shared" si="19"/>
        <v>-10</v>
      </c>
      <c r="AK32" s="19">
        <f t="shared" si="25"/>
        <v>-10</v>
      </c>
      <c r="AL32" s="19">
        <f t="shared" si="14"/>
        <v>0</v>
      </c>
      <c r="AM32" s="19">
        <f t="shared" si="15"/>
        <v>0</v>
      </c>
      <c r="AN32" s="19">
        <f t="shared" si="26"/>
        <v>0</v>
      </c>
      <c r="AO32" s="19">
        <f t="shared" si="20"/>
        <v>50</v>
      </c>
      <c r="AP32" s="19">
        <f t="shared" si="21"/>
        <v>0</v>
      </c>
      <c r="AQ32" s="19">
        <f t="shared" si="22"/>
        <v>590</v>
      </c>
      <c r="AR32" s="47">
        <f t="shared" si="23"/>
        <v>-250</v>
      </c>
    </row>
    <row r="33" spans="4:43">
      <c r="L33" s="86">
        <f>AVERAGE(L2:L32)</f>
        <v>3.9861111111111118E-2</v>
      </c>
      <c r="M33" s="86">
        <f>AVERAGE(M2:M32)</f>
        <v>5.0648148148148137E-2</v>
      </c>
      <c r="N33" s="86">
        <f>AVERAGE(N2:N32)</f>
        <v>0.14439814814814816</v>
      </c>
      <c r="O33" s="87">
        <f>AVERAGE(O2:O32)</f>
        <v>0.14761574074074074</v>
      </c>
      <c r="P33" s="88">
        <f>AVERAGE(P2:P32)</f>
        <v>1.4068993333333331</v>
      </c>
      <c r="Q33" s="88"/>
      <c r="R33" s="48"/>
      <c r="S33" s="48"/>
      <c r="T33" s="48"/>
      <c r="V33" s="15">
        <f>AVERAGE(V2:V32)</f>
        <v>15.03225806451613</v>
      </c>
      <c r="W33" s="15">
        <f>AVERAGE(W2:W31)</f>
        <v>135</v>
      </c>
      <c r="X33" s="15">
        <f>AVERAGE(X2:X31)</f>
        <v>57.4</v>
      </c>
      <c r="AD33" s="15">
        <f>AVERAGE(AD2:AD31)</f>
        <v>89.466666666666669</v>
      </c>
    </row>
    <row r="34" spans="4:43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6" spans="4:43">
      <c r="D36" s="2"/>
    </row>
    <row r="37" spans="4:43">
      <c r="D37" s="2"/>
    </row>
    <row r="38" spans="4:43">
      <c r="D38" s="2"/>
    </row>
    <row r="39" spans="4:43">
      <c r="D39" s="2"/>
    </row>
    <row r="40" spans="4:43">
      <c r="D40" s="2"/>
    </row>
    <row r="41" spans="4:43">
      <c r="D41" s="2"/>
    </row>
    <row r="42" spans="4:43">
      <c r="D42" s="2"/>
    </row>
    <row r="43" spans="4:43">
      <c r="D43" s="2"/>
    </row>
    <row r="44" spans="4:43">
      <c r="D44" s="2"/>
    </row>
    <row r="45" spans="4:43">
      <c r="D45" s="2"/>
    </row>
    <row r="46" spans="4:43">
      <c r="D46" s="2"/>
    </row>
    <row r="47" spans="4:43">
      <c r="D47" s="2"/>
    </row>
    <row r="48" spans="4:43">
      <c r="D48" s="2"/>
    </row>
  </sheetData>
  <autoFilter ref="B1:Z1" xr:uid="{00000000-0001-0000-0000-000000000000}"/>
  <mergeCells count="1">
    <mergeCell ref="AG34:AQ34"/>
  </mergeCells>
  <conditionalFormatting sqref="V2:V32">
    <cfRule type="cellIs" dxfId="47" priority="6" operator="greaterThan">
      <formula>$F$2</formula>
    </cfRule>
    <cfRule type="cellIs" dxfId="46" priority="7" operator="lessThanOrEqual">
      <formula>$F$2</formula>
    </cfRule>
  </conditionalFormatting>
  <conditionalFormatting sqref="V33:W33">
    <cfRule type="cellIs" dxfId="45" priority="1" operator="lessThanOrEqual">
      <formula>0</formula>
    </cfRule>
  </conditionalFormatting>
  <conditionalFormatting sqref="W2:W32">
    <cfRule type="cellIs" dxfId="44" priority="4" operator="greaterThan">
      <formula>$H$2</formula>
    </cfRule>
    <cfRule type="cellIs" dxfId="43" priority="5" operator="lessThanOrEqual">
      <formula>$H$2</formula>
    </cfRule>
  </conditionalFormatting>
  <conditionalFormatting sqref="AC2:AC32">
    <cfRule type="cellIs" dxfId="42" priority="2" operator="greaterThan">
      <formula>5</formula>
    </cfRule>
  </conditionalFormatting>
  <conditionalFormatting sqref="AD2:AD32 P2:T33">
    <cfRule type="cellIs" dxfId="41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1212-5E72-4FAC-80A7-786AF85A603F}">
  <dimension ref="A1:AW48"/>
  <sheetViews>
    <sheetView showGridLines="0" topLeftCell="P1" zoomScaleNormal="100" workbookViewId="0">
      <pane ySplit="1" topLeftCell="A2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38" max="38" width="11.54296875" bestFit="1" customWidth="1"/>
    <col min="48" max="48" width="9.1796875" customWidth="1"/>
  </cols>
  <sheetData>
    <row r="1" spans="1:49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89" t="s">
        <v>2</v>
      </c>
      <c r="M1" s="90" t="s">
        <v>5</v>
      </c>
      <c r="N1" s="90" t="s">
        <v>13</v>
      </c>
      <c r="O1" s="90" t="s">
        <v>12</v>
      </c>
      <c r="P1" s="21" t="s">
        <v>33</v>
      </c>
      <c r="Q1" s="21" t="s">
        <v>34</v>
      </c>
      <c r="R1" s="21" t="s">
        <v>35</v>
      </c>
      <c r="S1" s="21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31</v>
      </c>
      <c r="AJ1" s="43" t="s">
        <v>23</v>
      </c>
      <c r="AK1" s="43" t="s">
        <v>2</v>
      </c>
      <c r="AL1" s="43" t="s">
        <v>38</v>
      </c>
      <c r="AM1" s="43" t="s">
        <v>39</v>
      </c>
      <c r="AN1" s="43" t="s">
        <v>24</v>
      </c>
      <c r="AO1" s="43" t="s">
        <v>25</v>
      </c>
      <c r="AP1" s="43" t="s">
        <v>26</v>
      </c>
      <c r="AQ1" s="17" t="s">
        <v>27</v>
      </c>
      <c r="AR1" s="17" t="s">
        <v>29</v>
      </c>
      <c r="AS1" s="9" t="s">
        <v>33</v>
      </c>
      <c r="AT1" t="s">
        <v>34</v>
      </c>
      <c r="AU1" t="s">
        <v>40</v>
      </c>
      <c r="AV1" s="44" t="s">
        <v>41</v>
      </c>
      <c r="AW1" s="44" t="s">
        <v>42</v>
      </c>
    </row>
    <row r="2" spans="1:49">
      <c r="A2" s="30">
        <f t="shared" ref="A2:A31" si="0">B2</f>
        <v>45809</v>
      </c>
      <c r="B2" s="31">
        <v>45809</v>
      </c>
      <c r="C2" s="32" t="s">
        <v>158</v>
      </c>
      <c r="D2" s="33">
        <v>4.5138888888888888E-2</v>
      </c>
      <c r="E2" s="35">
        <f t="shared" ref="E2:E31" si="1">(D2+(TIME(0,F2,0)))</f>
        <v>6.5972222222222224E-2</v>
      </c>
      <c r="F2" s="34">
        <v>30</v>
      </c>
      <c r="G2" s="33">
        <v>0.16666666666666666</v>
      </c>
      <c r="H2" s="36">
        <f t="shared" ref="H2:H31" si="2">((G2-D2)*1440)-F2</f>
        <v>144.99999999999997</v>
      </c>
      <c r="I2" s="37">
        <f t="shared" ref="I2:I31" si="3">(N2+(TIME(0,J2,0)))</f>
        <v>0.125</v>
      </c>
      <c r="J2" s="4">
        <v>5</v>
      </c>
      <c r="K2" s="7"/>
      <c r="L2" s="39">
        <v>5.486111111111111E-2</v>
      </c>
      <c r="M2" s="39">
        <v>7.3611111111111113E-2</v>
      </c>
      <c r="N2" s="39">
        <v>0.12152777777777778</v>
      </c>
      <c r="O2" s="39">
        <v>0.12291666666666667</v>
      </c>
      <c r="P2" s="91">
        <v>0.37358999999999998</v>
      </c>
      <c r="Q2" t="s">
        <v>45</v>
      </c>
      <c r="R2" t="s">
        <v>45</v>
      </c>
      <c r="S2" t="s">
        <v>45</v>
      </c>
      <c r="T2" t="s">
        <v>45</v>
      </c>
      <c r="U2" s="7"/>
      <c r="V2" s="13">
        <f t="shared" ref="V2:W17" si="4">((M2-L2)*1440)</f>
        <v>27.000000000000004</v>
      </c>
      <c r="W2" s="13">
        <f t="shared" si="4"/>
        <v>69</v>
      </c>
      <c r="X2" s="40">
        <f t="shared" ref="X2:Y17" si="5">((L2-D2)*1440)</f>
        <v>14</v>
      </c>
      <c r="Y2" s="4">
        <f t="shared" si="5"/>
        <v>11</v>
      </c>
      <c r="Z2" s="4">
        <f t="shared" ref="Z2:Z31" si="6">((N2-G2)*1440)</f>
        <v>-64.999999999999986</v>
      </c>
      <c r="AA2" s="4">
        <f t="shared" ref="AA2:AA31" si="7">W2-(H2-X2)</f>
        <v>-61.999999999999972</v>
      </c>
      <c r="AB2" s="4">
        <f t="shared" ref="AB2:AB31" si="8">((O2-G2)*1440)</f>
        <v>-62.999999999999979</v>
      </c>
      <c r="AC2" s="13">
        <f t="shared" ref="AC2:AC31" si="9">ROUND((O2-N2)*1440,0)</f>
        <v>2</v>
      </c>
      <c r="AD2" s="15">
        <f t="shared" ref="AD2:AD31" si="10">(Z2*-1)+X2</f>
        <v>78.999999999999986</v>
      </c>
      <c r="AG2" s="18">
        <v>0</v>
      </c>
      <c r="AH2" s="19">
        <f t="shared" ref="AH2:AH31" si="11">AG2+F2</f>
        <v>30</v>
      </c>
      <c r="AI2" s="19">
        <v>145</v>
      </c>
      <c r="AJ2" s="19">
        <f t="shared" ref="AJ2:AJ31" si="12">AG2+H2+AH2</f>
        <v>174.99999999999997</v>
      </c>
      <c r="AK2" s="20">
        <f>AG2+X2</f>
        <v>14</v>
      </c>
      <c r="AL2" s="19">
        <f t="shared" ref="AL2:AL19" si="13">AK2</f>
        <v>14</v>
      </c>
      <c r="AM2" s="19">
        <f t="shared" ref="AM2:AM31" si="14">AN2</f>
        <v>41</v>
      </c>
      <c r="AN2" s="19">
        <f t="shared" ref="AN2:AN31" si="15">AH2+Y2</f>
        <v>41</v>
      </c>
      <c r="AO2" s="19">
        <f t="shared" ref="AO2:AO31" si="16">AN2+W2</f>
        <v>110</v>
      </c>
      <c r="AP2" s="19">
        <f>(AO2/2)+19</f>
        <v>74</v>
      </c>
      <c r="AQ2" s="19">
        <f t="shared" ref="AQ2:AQ31" si="17">AO2+AC2</f>
        <v>112</v>
      </c>
      <c r="AR2" s="19">
        <f>AD2+175</f>
        <v>254</v>
      </c>
      <c r="AS2" s="47">
        <f>(P2*50)-75</f>
        <v>-56.320500000000003</v>
      </c>
    </row>
    <row r="3" spans="1:49">
      <c r="A3" s="30">
        <f t="shared" si="0"/>
        <v>45810</v>
      </c>
      <c r="B3" s="31">
        <v>45810</v>
      </c>
      <c r="C3" s="32" t="s">
        <v>158</v>
      </c>
      <c r="D3" s="33">
        <v>4.5138888888888888E-2</v>
      </c>
      <c r="E3" s="35">
        <f t="shared" si="1"/>
        <v>6.5972222222222224E-2</v>
      </c>
      <c r="F3" s="34">
        <v>30</v>
      </c>
      <c r="G3" s="33">
        <v>0.16666666666666666</v>
      </c>
      <c r="H3" s="36">
        <f t="shared" si="2"/>
        <v>144.99999999999997</v>
      </c>
      <c r="I3" s="37">
        <f t="shared" si="3"/>
        <v>0.11944444444444444</v>
      </c>
      <c r="J3" s="4">
        <v>5</v>
      </c>
      <c r="K3" s="7"/>
      <c r="L3" s="39">
        <v>5.6250000000000001E-2</v>
      </c>
      <c r="M3" s="39">
        <v>7.0833333333333331E-2</v>
      </c>
      <c r="N3" s="39">
        <v>0.11597222222222221</v>
      </c>
      <c r="O3" s="39">
        <v>0.1173611111111111</v>
      </c>
      <c r="P3" s="91">
        <v>0.32255</v>
      </c>
      <c r="Q3" t="s">
        <v>45</v>
      </c>
      <c r="R3" t="s">
        <v>45</v>
      </c>
      <c r="S3" t="s">
        <v>45</v>
      </c>
      <c r="T3" t="s">
        <v>45</v>
      </c>
      <c r="U3" s="7"/>
      <c r="V3" s="13">
        <f t="shared" si="4"/>
        <v>20.999999999999996</v>
      </c>
      <c r="W3" s="13">
        <f t="shared" si="4"/>
        <v>64.999999999999986</v>
      </c>
      <c r="X3" s="40">
        <f t="shared" si="5"/>
        <v>16.000000000000004</v>
      </c>
      <c r="Y3" s="4">
        <f t="shared" si="5"/>
        <v>6.9999999999999947</v>
      </c>
      <c r="Z3" s="4">
        <f t="shared" si="6"/>
        <v>-73</v>
      </c>
      <c r="AA3" s="4">
        <f t="shared" si="7"/>
        <v>-63.999999999999986</v>
      </c>
      <c r="AB3" s="4">
        <f t="shared" si="8"/>
        <v>-71.000000000000014</v>
      </c>
      <c r="AC3" s="13">
        <f t="shared" si="9"/>
        <v>2</v>
      </c>
      <c r="AD3" s="15">
        <f t="shared" si="10"/>
        <v>89</v>
      </c>
      <c r="AG3" s="18">
        <v>0</v>
      </c>
      <c r="AH3" s="19">
        <f t="shared" si="11"/>
        <v>30</v>
      </c>
      <c r="AI3" s="19">
        <v>145</v>
      </c>
      <c r="AJ3" s="19">
        <f t="shared" si="12"/>
        <v>174.99999999999997</v>
      </c>
      <c r="AK3" s="20">
        <f>AG3+X3</f>
        <v>16.000000000000004</v>
      </c>
      <c r="AL3" s="19">
        <f t="shared" si="13"/>
        <v>16.000000000000004</v>
      </c>
      <c r="AM3" s="19">
        <f t="shared" si="14"/>
        <v>36.999999999999993</v>
      </c>
      <c r="AN3" s="19">
        <f t="shared" si="15"/>
        <v>36.999999999999993</v>
      </c>
      <c r="AO3" s="19">
        <f t="shared" si="16"/>
        <v>101.99999999999997</v>
      </c>
      <c r="AP3" s="19">
        <f>(AO3/2)+19</f>
        <v>69.999999999999986</v>
      </c>
      <c r="AQ3" s="19">
        <f t="shared" si="17"/>
        <v>103.99999999999997</v>
      </c>
      <c r="AR3" s="19">
        <f>AD3+175</f>
        <v>264</v>
      </c>
      <c r="AS3" s="47">
        <f>(P3*50)-75</f>
        <v>-58.872500000000002</v>
      </c>
    </row>
    <row r="4" spans="1:49">
      <c r="A4" s="30">
        <f t="shared" si="0"/>
        <v>45811</v>
      </c>
      <c r="B4" s="31">
        <v>45811</v>
      </c>
      <c r="C4" s="32" t="s">
        <v>158</v>
      </c>
      <c r="D4" s="33">
        <v>4.5138888888888888E-2</v>
      </c>
      <c r="E4" s="35">
        <f t="shared" si="1"/>
        <v>6.5972222222222224E-2</v>
      </c>
      <c r="F4" s="34">
        <v>30</v>
      </c>
      <c r="G4" s="33">
        <v>0.16666666666666666</v>
      </c>
      <c r="H4" s="36">
        <f t="shared" si="2"/>
        <v>144.99999999999997</v>
      </c>
      <c r="I4" s="37">
        <f t="shared" si="3"/>
        <v>0.10902777777777778</v>
      </c>
      <c r="J4" s="4">
        <v>5</v>
      </c>
      <c r="K4" s="7"/>
      <c r="L4" s="39">
        <v>4.7916666666666663E-2</v>
      </c>
      <c r="M4" s="39">
        <v>6.25E-2</v>
      </c>
      <c r="N4" s="39">
        <v>0.10555555555555556</v>
      </c>
      <c r="O4" s="39">
        <v>0.10694444444444444</v>
      </c>
      <c r="P4" s="91">
        <v>0.31616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4"/>
        <v>21.000000000000007</v>
      </c>
      <c r="W4" s="13">
        <f t="shared" si="4"/>
        <v>62</v>
      </c>
      <c r="X4" s="40">
        <f t="shared" si="5"/>
        <v>3.9999999999999956</v>
      </c>
      <c r="Y4" s="4">
        <f t="shared" si="5"/>
        <v>-5.0000000000000018</v>
      </c>
      <c r="Z4" s="4">
        <f t="shared" si="6"/>
        <v>-87.999999999999986</v>
      </c>
      <c r="AA4" s="4">
        <f t="shared" si="7"/>
        <v>-78.999999999999972</v>
      </c>
      <c r="AB4" s="4">
        <f t="shared" si="8"/>
        <v>-86</v>
      </c>
      <c r="AC4" s="13">
        <f t="shared" si="9"/>
        <v>2</v>
      </c>
      <c r="AD4" s="15">
        <f t="shared" si="10"/>
        <v>91.999999999999986</v>
      </c>
      <c r="AG4" s="18">
        <v>0</v>
      </c>
      <c r="AH4" s="19">
        <f t="shared" si="11"/>
        <v>30</v>
      </c>
      <c r="AI4" s="19">
        <v>145</v>
      </c>
      <c r="AJ4" s="19">
        <f t="shared" si="12"/>
        <v>174.99999999999997</v>
      </c>
      <c r="AK4" s="20">
        <f t="shared" ref="AK4:AK31" si="18">AG4+X4</f>
        <v>3.9999999999999956</v>
      </c>
      <c r="AL4" s="19">
        <f t="shared" si="13"/>
        <v>3.9999999999999956</v>
      </c>
      <c r="AM4" s="19">
        <f t="shared" si="14"/>
        <v>25</v>
      </c>
      <c r="AN4" s="19">
        <f t="shared" si="15"/>
        <v>25</v>
      </c>
      <c r="AO4" s="19">
        <f t="shared" si="16"/>
        <v>87</v>
      </c>
      <c r="AP4" s="19">
        <f t="shared" ref="AP4:AP31" si="19">(AO4/2)+19</f>
        <v>62.5</v>
      </c>
      <c r="AQ4" s="19">
        <f t="shared" si="17"/>
        <v>89</v>
      </c>
      <c r="AR4" s="19">
        <f t="shared" ref="AR4:AR31" si="20">AD4+175</f>
        <v>267</v>
      </c>
      <c r="AS4" s="47">
        <f t="shared" ref="AS4:AS31" si="21">(P4*50)-75</f>
        <v>-59.192</v>
      </c>
    </row>
    <row r="5" spans="1:49">
      <c r="A5" s="30">
        <f t="shared" si="0"/>
        <v>45812</v>
      </c>
      <c r="B5" s="31">
        <v>45812</v>
      </c>
      <c r="C5" s="32" t="s">
        <v>158</v>
      </c>
      <c r="D5" s="33">
        <v>4.5138888888888888E-2</v>
      </c>
      <c r="E5" s="35">
        <f t="shared" si="1"/>
        <v>6.5972222222222224E-2</v>
      </c>
      <c r="F5" s="34">
        <v>30</v>
      </c>
      <c r="G5" s="33">
        <v>0.16666666666666666</v>
      </c>
      <c r="H5" s="36">
        <f t="shared" si="2"/>
        <v>144.99999999999997</v>
      </c>
      <c r="I5" s="37">
        <f t="shared" si="3"/>
        <v>0.13541666666666666</v>
      </c>
      <c r="J5" s="4">
        <v>5</v>
      </c>
      <c r="K5" s="7"/>
      <c r="L5" s="39">
        <v>5.4166666666666669E-2</v>
      </c>
      <c r="M5" s="39">
        <v>8.8888888888888892E-2</v>
      </c>
      <c r="N5" s="39">
        <v>0.13194444444444445</v>
      </c>
      <c r="O5" s="39">
        <v>0.13333333333333333</v>
      </c>
      <c r="P5" s="91">
        <v>0.32596999999999998</v>
      </c>
      <c r="Q5" t="s">
        <v>45</v>
      </c>
      <c r="R5" t="s">
        <v>45</v>
      </c>
      <c r="S5" t="s">
        <v>45</v>
      </c>
      <c r="T5" t="s">
        <v>45</v>
      </c>
      <c r="U5" s="7"/>
      <c r="V5" s="13">
        <f t="shared" si="4"/>
        <v>50</v>
      </c>
      <c r="W5" s="13">
        <f t="shared" si="4"/>
        <v>62</v>
      </c>
      <c r="X5" s="40">
        <f t="shared" si="5"/>
        <v>13.000000000000004</v>
      </c>
      <c r="Y5" s="4">
        <f t="shared" si="5"/>
        <v>33</v>
      </c>
      <c r="Z5" s="4">
        <f t="shared" si="6"/>
        <v>-49.999999999999986</v>
      </c>
      <c r="AA5" s="4">
        <f t="shared" si="7"/>
        <v>-69.999999999999972</v>
      </c>
      <c r="AB5" s="4">
        <f t="shared" si="8"/>
        <v>-47.999999999999986</v>
      </c>
      <c r="AC5" s="13">
        <f t="shared" si="9"/>
        <v>2</v>
      </c>
      <c r="AD5" s="15">
        <f t="shared" si="10"/>
        <v>62.999999999999986</v>
      </c>
      <c r="AG5" s="18">
        <v>0</v>
      </c>
      <c r="AH5" s="19">
        <f t="shared" si="11"/>
        <v>30</v>
      </c>
      <c r="AI5" s="19">
        <v>145</v>
      </c>
      <c r="AJ5" s="19">
        <f t="shared" si="12"/>
        <v>174.99999999999997</v>
      </c>
      <c r="AK5" s="20">
        <f t="shared" si="18"/>
        <v>13.000000000000004</v>
      </c>
      <c r="AL5" s="19">
        <f t="shared" si="13"/>
        <v>13.000000000000004</v>
      </c>
      <c r="AM5" s="19">
        <f t="shared" si="14"/>
        <v>63</v>
      </c>
      <c r="AN5" s="19">
        <f t="shared" si="15"/>
        <v>63</v>
      </c>
      <c r="AO5" s="19">
        <f t="shared" si="16"/>
        <v>125</v>
      </c>
      <c r="AP5" s="19">
        <f t="shared" si="19"/>
        <v>81.5</v>
      </c>
      <c r="AQ5" s="19">
        <f t="shared" si="17"/>
        <v>127</v>
      </c>
      <c r="AR5" s="19">
        <f t="shared" si="20"/>
        <v>238</v>
      </c>
      <c r="AS5" s="47">
        <f t="shared" si="21"/>
        <v>-58.701499999999996</v>
      </c>
    </row>
    <row r="6" spans="1:49">
      <c r="A6" s="30">
        <f t="shared" si="0"/>
        <v>45813</v>
      </c>
      <c r="B6" s="31">
        <v>45813</v>
      </c>
      <c r="C6" s="32" t="s">
        <v>158</v>
      </c>
      <c r="D6" s="92">
        <v>4.5138888888888888E-2</v>
      </c>
      <c r="E6" s="35">
        <f t="shared" si="1"/>
        <v>6.5972222222222224E-2</v>
      </c>
      <c r="F6" s="34">
        <v>30</v>
      </c>
      <c r="G6" s="33">
        <v>0.16666666666666666</v>
      </c>
      <c r="H6" s="36">
        <f t="shared" si="2"/>
        <v>144.99999999999997</v>
      </c>
      <c r="I6" s="37">
        <f t="shared" si="3"/>
        <v>0.125</v>
      </c>
      <c r="J6" s="4">
        <v>5</v>
      </c>
      <c r="K6" s="7"/>
      <c r="L6" s="39">
        <v>6.458333333333334E-2</v>
      </c>
      <c r="M6" s="39">
        <v>7.6388888888888895E-2</v>
      </c>
      <c r="N6" s="39">
        <v>0.12152777777777778</v>
      </c>
      <c r="O6" s="39">
        <v>0.12291666666666667</v>
      </c>
      <c r="P6" s="91">
        <v>0.32214999999999999</v>
      </c>
      <c r="Q6" t="s">
        <v>45</v>
      </c>
      <c r="R6" t="s">
        <v>45</v>
      </c>
      <c r="S6" t="s">
        <v>45</v>
      </c>
      <c r="T6" t="s">
        <v>45</v>
      </c>
      <c r="U6" s="7"/>
      <c r="V6" s="13">
        <f t="shared" si="4"/>
        <v>17</v>
      </c>
      <c r="W6" s="13">
        <f t="shared" si="4"/>
        <v>64.999999999999986</v>
      </c>
      <c r="X6" s="40">
        <f t="shared" si="5"/>
        <v>28.000000000000011</v>
      </c>
      <c r="Y6" s="4">
        <f t="shared" si="5"/>
        <v>15.000000000000007</v>
      </c>
      <c r="Z6" s="4">
        <f t="shared" si="6"/>
        <v>-64.999999999999986</v>
      </c>
      <c r="AA6" s="4">
        <f t="shared" si="7"/>
        <v>-51.999999999999972</v>
      </c>
      <c r="AB6" s="4">
        <f t="shared" si="8"/>
        <v>-62.999999999999979</v>
      </c>
      <c r="AC6" s="13">
        <f t="shared" si="9"/>
        <v>2</v>
      </c>
      <c r="AD6" s="15">
        <f t="shared" si="10"/>
        <v>93</v>
      </c>
      <c r="AG6" s="18">
        <v>0</v>
      </c>
      <c r="AH6" s="19">
        <f t="shared" si="11"/>
        <v>30</v>
      </c>
      <c r="AI6" s="19">
        <v>145</v>
      </c>
      <c r="AJ6" s="19">
        <f t="shared" si="12"/>
        <v>174.99999999999997</v>
      </c>
      <c r="AK6" s="20">
        <f t="shared" si="18"/>
        <v>28.000000000000011</v>
      </c>
      <c r="AL6" s="19">
        <f t="shared" si="13"/>
        <v>28.000000000000011</v>
      </c>
      <c r="AM6" s="19">
        <f t="shared" si="14"/>
        <v>45.000000000000007</v>
      </c>
      <c r="AN6" s="19">
        <f t="shared" si="15"/>
        <v>45.000000000000007</v>
      </c>
      <c r="AO6" s="19">
        <f t="shared" si="16"/>
        <v>110</v>
      </c>
      <c r="AP6" s="19">
        <f t="shared" si="19"/>
        <v>74</v>
      </c>
      <c r="AQ6" s="19">
        <f t="shared" si="17"/>
        <v>112</v>
      </c>
      <c r="AR6" s="19">
        <f t="shared" si="20"/>
        <v>268</v>
      </c>
      <c r="AS6" s="47">
        <f t="shared" si="21"/>
        <v>-58.892499999999998</v>
      </c>
    </row>
    <row r="7" spans="1:49">
      <c r="A7" s="30">
        <f t="shared" si="0"/>
        <v>45814</v>
      </c>
      <c r="B7" s="31">
        <v>45814</v>
      </c>
      <c r="C7" s="32" t="s">
        <v>158</v>
      </c>
      <c r="D7" s="33">
        <v>4.5138888888888888E-2</v>
      </c>
      <c r="E7" s="35">
        <f t="shared" si="1"/>
        <v>6.5972222222222224E-2</v>
      </c>
      <c r="F7" s="34">
        <v>30</v>
      </c>
      <c r="G7" s="33">
        <v>0.16666666666666666</v>
      </c>
      <c r="H7" s="36">
        <f t="shared" si="2"/>
        <v>144.99999999999997</v>
      </c>
      <c r="I7" s="37">
        <f t="shared" si="3"/>
        <v>0.12708333333333333</v>
      </c>
      <c r="J7" s="4">
        <v>5</v>
      </c>
      <c r="K7" s="7"/>
      <c r="L7" s="39">
        <v>6.25E-2</v>
      </c>
      <c r="M7" s="39">
        <v>8.0555555555555561E-2</v>
      </c>
      <c r="N7" s="39">
        <v>0.12361111111111112</v>
      </c>
      <c r="O7" s="39">
        <v>0.125</v>
      </c>
      <c r="P7" s="91">
        <v>0.32192999999999999</v>
      </c>
      <c r="Q7" t="s">
        <v>45</v>
      </c>
      <c r="R7" t="s">
        <v>45</v>
      </c>
      <c r="S7" t="s">
        <v>45</v>
      </c>
      <c r="T7" t="s">
        <v>45</v>
      </c>
      <c r="U7" s="7"/>
      <c r="V7" s="13">
        <f t="shared" si="4"/>
        <v>26.000000000000007</v>
      </c>
      <c r="W7" s="13">
        <f t="shared" si="4"/>
        <v>62</v>
      </c>
      <c r="X7" s="40">
        <f t="shared" si="5"/>
        <v>25</v>
      </c>
      <c r="Y7" s="4">
        <f t="shared" si="5"/>
        <v>21.000000000000007</v>
      </c>
      <c r="Z7" s="4">
        <f t="shared" si="6"/>
        <v>-61.999999999999979</v>
      </c>
      <c r="AA7" s="4">
        <f t="shared" si="7"/>
        <v>-57.999999999999972</v>
      </c>
      <c r="AB7" s="4">
        <f t="shared" si="8"/>
        <v>-59.999999999999986</v>
      </c>
      <c r="AC7" s="13">
        <f t="shared" si="9"/>
        <v>2</v>
      </c>
      <c r="AD7" s="15">
        <f t="shared" si="10"/>
        <v>86.999999999999972</v>
      </c>
      <c r="AG7" s="18">
        <v>0</v>
      </c>
      <c r="AH7" s="19">
        <f t="shared" si="11"/>
        <v>30</v>
      </c>
      <c r="AI7" s="19">
        <v>145</v>
      </c>
      <c r="AJ7" s="19">
        <f t="shared" si="12"/>
        <v>174.99999999999997</v>
      </c>
      <c r="AK7" s="20">
        <f t="shared" si="18"/>
        <v>25</v>
      </c>
      <c r="AL7" s="19">
        <f t="shared" si="13"/>
        <v>25</v>
      </c>
      <c r="AM7" s="19">
        <f t="shared" si="14"/>
        <v>51.000000000000007</v>
      </c>
      <c r="AN7" s="19">
        <f t="shared" si="15"/>
        <v>51.000000000000007</v>
      </c>
      <c r="AO7" s="19">
        <f t="shared" si="16"/>
        <v>113</v>
      </c>
      <c r="AP7" s="19">
        <f t="shared" si="19"/>
        <v>75.5</v>
      </c>
      <c r="AQ7" s="19">
        <f t="shared" si="17"/>
        <v>115</v>
      </c>
      <c r="AR7" s="19">
        <f t="shared" si="20"/>
        <v>262</v>
      </c>
      <c r="AS7" s="47">
        <f t="shared" si="21"/>
        <v>-58.903500000000001</v>
      </c>
    </row>
    <row r="8" spans="1:49">
      <c r="A8" s="30">
        <f t="shared" si="0"/>
        <v>45815</v>
      </c>
      <c r="B8" s="31">
        <v>45815</v>
      </c>
      <c r="C8" s="32" t="s">
        <v>158</v>
      </c>
      <c r="D8" s="33">
        <v>4.5138888888888888E-2</v>
      </c>
      <c r="E8" s="35">
        <f t="shared" si="1"/>
        <v>6.5972222222222224E-2</v>
      </c>
      <c r="F8" s="34">
        <v>30</v>
      </c>
      <c r="G8" s="33">
        <v>0.16666666666666666</v>
      </c>
      <c r="H8" s="36">
        <f t="shared" si="2"/>
        <v>144.99999999999997</v>
      </c>
      <c r="I8" s="37">
        <f t="shared" si="3"/>
        <v>0.11041666666666666</v>
      </c>
      <c r="J8" s="4">
        <v>5</v>
      </c>
      <c r="K8" s="7"/>
      <c r="L8" s="39">
        <v>4.3055555555555562E-2</v>
      </c>
      <c r="M8" s="39">
        <v>6.3888888888888884E-2</v>
      </c>
      <c r="N8" s="39">
        <v>0.10694444444444444</v>
      </c>
      <c r="O8" s="39">
        <v>0.10833333333333334</v>
      </c>
      <c r="P8" s="91">
        <v>0.32168999999999998</v>
      </c>
      <c r="Q8" t="s">
        <v>45</v>
      </c>
      <c r="R8" t="s">
        <v>45</v>
      </c>
      <c r="S8" t="s">
        <v>45</v>
      </c>
      <c r="T8" t="s">
        <v>45</v>
      </c>
      <c r="U8" s="7"/>
      <c r="V8" s="13">
        <f t="shared" si="4"/>
        <v>29.999999999999982</v>
      </c>
      <c r="W8" s="13">
        <f t="shared" si="4"/>
        <v>62</v>
      </c>
      <c r="X8" s="40">
        <f t="shared" si="5"/>
        <v>-2.9999999999999893</v>
      </c>
      <c r="Y8" s="4">
        <f t="shared" si="5"/>
        <v>-3.0000000000000093</v>
      </c>
      <c r="Z8" s="4">
        <f t="shared" si="6"/>
        <v>-86</v>
      </c>
      <c r="AA8" s="4">
        <f t="shared" si="7"/>
        <v>-85.999999999999972</v>
      </c>
      <c r="AB8" s="4">
        <f t="shared" si="8"/>
        <v>-83.999999999999986</v>
      </c>
      <c r="AC8" s="13">
        <f t="shared" si="9"/>
        <v>2</v>
      </c>
      <c r="AD8" s="15">
        <f t="shared" si="10"/>
        <v>83.000000000000014</v>
      </c>
      <c r="AG8" s="18">
        <v>0</v>
      </c>
      <c r="AH8" s="19">
        <f t="shared" si="11"/>
        <v>30</v>
      </c>
      <c r="AI8" s="19">
        <v>145</v>
      </c>
      <c r="AJ8" s="19">
        <f t="shared" si="12"/>
        <v>174.99999999999997</v>
      </c>
      <c r="AK8" s="20">
        <f t="shared" si="18"/>
        <v>-2.9999999999999893</v>
      </c>
      <c r="AL8" s="19">
        <f t="shared" si="13"/>
        <v>-2.9999999999999893</v>
      </c>
      <c r="AM8" s="19">
        <f t="shared" si="14"/>
        <v>26.999999999999989</v>
      </c>
      <c r="AN8" s="19">
        <f t="shared" si="15"/>
        <v>26.999999999999989</v>
      </c>
      <c r="AO8" s="19">
        <f t="shared" si="16"/>
        <v>88.999999999999986</v>
      </c>
      <c r="AP8" s="19">
        <f t="shared" si="19"/>
        <v>63.499999999999993</v>
      </c>
      <c r="AQ8" s="19">
        <f t="shared" si="17"/>
        <v>90.999999999999986</v>
      </c>
      <c r="AR8" s="19">
        <f t="shared" si="20"/>
        <v>258</v>
      </c>
      <c r="AS8" s="47">
        <f t="shared" si="21"/>
        <v>-58.915500000000002</v>
      </c>
    </row>
    <row r="9" spans="1:49">
      <c r="A9" s="30">
        <f t="shared" si="0"/>
        <v>45816</v>
      </c>
      <c r="B9" s="31">
        <v>45816</v>
      </c>
      <c r="C9" s="32" t="s">
        <v>158</v>
      </c>
      <c r="D9" s="33"/>
      <c r="E9" s="35"/>
      <c r="F9" s="34"/>
      <c r="G9" s="33"/>
      <c r="H9" s="36"/>
      <c r="I9" s="37"/>
      <c r="J9" s="4"/>
      <c r="K9" s="7"/>
      <c r="L9" s="39"/>
      <c r="M9" s="39"/>
      <c r="N9" s="39"/>
      <c r="O9" s="39"/>
      <c r="P9" s="91"/>
      <c r="U9" s="7"/>
      <c r="V9" s="13"/>
      <c r="W9" s="13"/>
      <c r="X9" s="40"/>
      <c r="Y9" s="4"/>
      <c r="Z9" s="4"/>
      <c r="AA9" s="4"/>
      <c r="AB9" s="4"/>
      <c r="AC9" s="13"/>
      <c r="AD9" s="15"/>
      <c r="AG9" s="18"/>
      <c r="AH9" s="19"/>
      <c r="AI9" s="19"/>
      <c r="AJ9" s="19"/>
      <c r="AK9" s="20"/>
      <c r="AL9" s="19"/>
      <c r="AM9" s="19">
        <f t="shared" si="14"/>
        <v>0</v>
      </c>
      <c r="AN9" s="19"/>
      <c r="AO9" s="19"/>
      <c r="AP9" s="19"/>
      <c r="AQ9" s="19"/>
      <c r="AR9" s="19"/>
      <c r="AS9" s="47"/>
    </row>
    <row r="10" spans="1:49">
      <c r="A10" s="30">
        <f t="shared" si="0"/>
        <v>45817</v>
      </c>
      <c r="B10" s="31">
        <v>45817</v>
      </c>
      <c r="C10" s="32" t="s">
        <v>158</v>
      </c>
      <c r="D10" s="33">
        <v>4.5138888888888888E-2</v>
      </c>
      <c r="E10" s="35">
        <f t="shared" si="1"/>
        <v>6.5972222222222224E-2</v>
      </c>
      <c r="F10" s="34">
        <v>30</v>
      </c>
      <c r="G10" s="33">
        <v>0.16666666666666666</v>
      </c>
      <c r="H10" s="36">
        <f t="shared" si="2"/>
        <v>144.99999999999997</v>
      </c>
      <c r="I10" s="37">
        <f t="shared" si="3"/>
        <v>0.12708333333333333</v>
      </c>
      <c r="J10" s="4">
        <v>5</v>
      </c>
      <c r="K10" s="7"/>
      <c r="L10" s="39">
        <v>6.805555555555555E-2</v>
      </c>
      <c r="M10" s="39">
        <v>7.9166666666666663E-2</v>
      </c>
      <c r="N10" s="39">
        <v>0.12361111111111112</v>
      </c>
      <c r="O10" s="39">
        <v>0.125</v>
      </c>
      <c r="P10" s="91">
        <v>0.32178000000000001</v>
      </c>
      <c r="Q10" t="s">
        <v>45</v>
      </c>
      <c r="R10" t="s">
        <v>45</v>
      </c>
      <c r="S10" t="s">
        <v>45</v>
      </c>
      <c r="T10" t="s">
        <v>45</v>
      </c>
      <c r="U10" s="7"/>
      <c r="V10" s="13">
        <f t="shared" si="4"/>
        <v>16.000000000000004</v>
      </c>
      <c r="W10" s="13">
        <f t="shared" si="4"/>
        <v>64.000000000000014</v>
      </c>
      <c r="X10" s="40">
        <f t="shared" si="5"/>
        <v>32.999999999999993</v>
      </c>
      <c r="Y10" s="4">
        <f t="shared" si="5"/>
        <v>18.999999999999993</v>
      </c>
      <c r="Z10" s="4">
        <f t="shared" si="6"/>
        <v>-61.999999999999979</v>
      </c>
      <c r="AA10" s="4">
        <f t="shared" si="7"/>
        <v>-47.999999999999957</v>
      </c>
      <c r="AB10" s="4">
        <f t="shared" si="8"/>
        <v>-59.999999999999986</v>
      </c>
      <c r="AC10" s="13">
        <f t="shared" si="9"/>
        <v>2</v>
      </c>
      <c r="AD10" s="15">
        <f t="shared" si="10"/>
        <v>94.999999999999972</v>
      </c>
      <c r="AG10" s="18">
        <v>0</v>
      </c>
      <c r="AH10" s="19">
        <f t="shared" si="11"/>
        <v>30</v>
      </c>
      <c r="AI10" s="19">
        <v>145</v>
      </c>
      <c r="AJ10" s="19">
        <f t="shared" si="12"/>
        <v>174.99999999999997</v>
      </c>
      <c r="AK10" s="20">
        <f t="shared" si="18"/>
        <v>32.999999999999993</v>
      </c>
      <c r="AL10" s="19">
        <f t="shared" si="13"/>
        <v>32.999999999999993</v>
      </c>
      <c r="AM10" s="19">
        <f t="shared" si="14"/>
        <v>48.999999999999993</v>
      </c>
      <c r="AN10" s="19">
        <f t="shared" si="15"/>
        <v>48.999999999999993</v>
      </c>
      <c r="AO10" s="19">
        <f t="shared" si="16"/>
        <v>113</v>
      </c>
      <c r="AP10" s="19">
        <f t="shared" si="19"/>
        <v>75.5</v>
      </c>
      <c r="AQ10" s="19">
        <f t="shared" si="17"/>
        <v>115</v>
      </c>
      <c r="AR10" s="19">
        <f t="shared" si="20"/>
        <v>270</v>
      </c>
      <c r="AS10" s="47">
        <f t="shared" si="21"/>
        <v>-58.911000000000001</v>
      </c>
    </row>
    <row r="11" spans="1:49">
      <c r="A11" s="30">
        <f t="shared" si="0"/>
        <v>45818</v>
      </c>
      <c r="B11" s="31">
        <v>45818</v>
      </c>
      <c r="C11" s="32" t="s">
        <v>158</v>
      </c>
      <c r="D11" s="33">
        <v>4.5138888888888888E-2</v>
      </c>
      <c r="E11" s="35">
        <f t="shared" si="1"/>
        <v>6.5972222222222224E-2</v>
      </c>
      <c r="F11" s="34">
        <v>30</v>
      </c>
      <c r="G11" s="33">
        <v>0.16666666666666666</v>
      </c>
      <c r="H11" s="36">
        <f t="shared" si="2"/>
        <v>144.99999999999997</v>
      </c>
      <c r="I11" s="37">
        <f t="shared" si="3"/>
        <v>0.12013888888888888</v>
      </c>
      <c r="J11" s="4">
        <v>5</v>
      </c>
      <c r="K11" s="7"/>
      <c r="L11" s="39">
        <v>4.4444444444444446E-2</v>
      </c>
      <c r="M11" s="39">
        <v>6.5277777777777782E-2</v>
      </c>
      <c r="N11" s="39">
        <v>0.11666666666666665</v>
      </c>
      <c r="O11" s="39">
        <v>0.11805555555555557</v>
      </c>
      <c r="P11" s="91">
        <v>0.31408999999999998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4"/>
        <v>30.000000000000004</v>
      </c>
      <c r="W11" s="13">
        <f t="shared" si="4"/>
        <v>73.999999999999972</v>
      </c>
      <c r="X11" s="40">
        <f t="shared" si="5"/>
        <v>-0.99999999999999645</v>
      </c>
      <c r="Y11" s="4">
        <f t="shared" si="5"/>
        <v>-0.99999999999999645</v>
      </c>
      <c r="Z11" s="4">
        <f t="shared" si="6"/>
        <v>-72</v>
      </c>
      <c r="AA11" s="4">
        <f t="shared" si="7"/>
        <v>-72</v>
      </c>
      <c r="AB11" s="4">
        <f t="shared" si="8"/>
        <v>-69.999999999999972</v>
      </c>
      <c r="AC11" s="13">
        <f t="shared" si="9"/>
        <v>2</v>
      </c>
      <c r="AD11" s="15">
        <f t="shared" si="10"/>
        <v>71</v>
      </c>
      <c r="AG11" s="18">
        <v>0</v>
      </c>
      <c r="AH11" s="19">
        <f t="shared" si="11"/>
        <v>30</v>
      </c>
      <c r="AI11" s="19">
        <v>145</v>
      </c>
      <c r="AJ11" s="19">
        <f t="shared" si="12"/>
        <v>174.99999999999997</v>
      </c>
      <c r="AK11" s="20">
        <f t="shared" si="18"/>
        <v>-0.99999999999999645</v>
      </c>
      <c r="AL11" s="19">
        <f t="shared" si="13"/>
        <v>-0.99999999999999645</v>
      </c>
      <c r="AM11" s="19">
        <f t="shared" si="14"/>
        <v>29.000000000000004</v>
      </c>
      <c r="AN11" s="19">
        <f t="shared" si="15"/>
        <v>29.000000000000004</v>
      </c>
      <c r="AO11" s="19">
        <f t="shared" si="16"/>
        <v>102.99999999999997</v>
      </c>
      <c r="AP11" s="19">
        <f t="shared" si="19"/>
        <v>70.499999999999986</v>
      </c>
      <c r="AQ11" s="19">
        <f t="shared" si="17"/>
        <v>104.99999999999997</v>
      </c>
      <c r="AR11" s="19">
        <f t="shared" si="20"/>
        <v>246</v>
      </c>
      <c r="AS11" s="47">
        <f t="shared" si="21"/>
        <v>-59.295500000000004</v>
      </c>
    </row>
    <row r="12" spans="1:49">
      <c r="A12" s="30">
        <f t="shared" si="0"/>
        <v>45819</v>
      </c>
      <c r="B12" s="31">
        <v>45819</v>
      </c>
      <c r="C12" s="32" t="s">
        <v>158</v>
      </c>
      <c r="D12" s="92">
        <v>4.5138888888888888E-2</v>
      </c>
      <c r="E12" s="35">
        <f t="shared" si="1"/>
        <v>6.5972222222222224E-2</v>
      </c>
      <c r="F12" s="34">
        <v>30</v>
      </c>
      <c r="G12" s="33">
        <v>0.16666666666666666</v>
      </c>
      <c r="H12" s="36">
        <f t="shared" si="2"/>
        <v>144.99999999999997</v>
      </c>
      <c r="I12" s="37">
        <f t="shared" si="3"/>
        <v>0.12152777777777779</v>
      </c>
      <c r="J12" s="4">
        <v>5</v>
      </c>
      <c r="K12" s="7"/>
      <c r="L12" s="39">
        <v>6.5972222222222224E-2</v>
      </c>
      <c r="M12" s="39">
        <v>7.6388888888888895E-2</v>
      </c>
      <c r="N12" s="39">
        <v>0.11805555555555557</v>
      </c>
      <c r="O12" s="39">
        <v>0.11944444444444445</v>
      </c>
      <c r="P12" s="91">
        <v>0.32334000000000002</v>
      </c>
      <c r="Q12" t="s">
        <v>45</v>
      </c>
      <c r="R12" t="s">
        <v>45</v>
      </c>
      <c r="S12" t="s">
        <v>45</v>
      </c>
      <c r="T12" t="s">
        <v>45</v>
      </c>
      <c r="U12" s="7"/>
      <c r="V12" s="13">
        <f t="shared" si="4"/>
        <v>15.000000000000007</v>
      </c>
      <c r="W12" s="13">
        <f t="shared" si="4"/>
        <v>60.000000000000007</v>
      </c>
      <c r="X12" s="40">
        <f t="shared" si="5"/>
        <v>30.000000000000004</v>
      </c>
      <c r="Y12" s="4">
        <f t="shared" si="5"/>
        <v>15.000000000000007</v>
      </c>
      <c r="Z12" s="4">
        <f t="shared" si="6"/>
        <v>-69.999999999999972</v>
      </c>
      <c r="AA12" s="4">
        <f t="shared" si="7"/>
        <v>-54.999999999999964</v>
      </c>
      <c r="AB12" s="4">
        <f t="shared" si="8"/>
        <v>-67.999999999999972</v>
      </c>
      <c r="AC12" s="13">
        <f t="shared" si="9"/>
        <v>2</v>
      </c>
      <c r="AD12" s="15">
        <f t="shared" si="10"/>
        <v>99.999999999999972</v>
      </c>
      <c r="AG12" s="18">
        <v>0</v>
      </c>
      <c r="AH12" s="19">
        <f t="shared" si="11"/>
        <v>30</v>
      </c>
      <c r="AI12" s="19">
        <v>145</v>
      </c>
      <c r="AJ12" s="19">
        <f t="shared" si="12"/>
        <v>174.99999999999997</v>
      </c>
      <c r="AK12" s="20">
        <f t="shared" si="18"/>
        <v>30.000000000000004</v>
      </c>
      <c r="AL12" s="19">
        <f t="shared" si="13"/>
        <v>30.000000000000004</v>
      </c>
      <c r="AM12" s="19">
        <f t="shared" si="14"/>
        <v>45.000000000000007</v>
      </c>
      <c r="AN12" s="19">
        <f t="shared" si="15"/>
        <v>45.000000000000007</v>
      </c>
      <c r="AO12" s="19">
        <f t="shared" si="16"/>
        <v>105.00000000000001</v>
      </c>
      <c r="AP12" s="19">
        <f t="shared" si="19"/>
        <v>71.5</v>
      </c>
      <c r="AQ12" s="19">
        <f t="shared" si="17"/>
        <v>107.00000000000001</v>
      </c>
      <c r="AR12" s="19">
        <f t="shared" si="20"/>
        <v>275</v>
      </c>
      <c r="AS12" s="47">
        <f t="shared" si="21"/>
        <v>-58.832999999999998</v>
      </c>
    </row>
    <row r="13" spans="1:49">
      <c r="A13" s="30">
        <f t="shared" si="0"/>
        <v>45820</v>
      </c>
      <c r="B13" s="31">
        <v>45820</v>
      </c>
      <c r="C13" s="32" t="s">
        <v>158</v>
      </c>
      <c r="D13" s="33">
        <v>4.5138888888888888E-2</v>
      </c>
      <c r="E13" s="35">
        <f t="shared" si="1"/>
        <v>6.5972222222222224E-2</v>
      </c>
      <c r="F13" s="34">
        <v>30</v>
      </c>
      <c r="G13" s="33">
        <v>0.16666666666666666</v>
      </c>
      <c r="H13" s="36">
        <f t="shared" si="2"/>
        <v>144.99999999999997</v>
      </c>
      <c r="I13" s="37">
        <f t="shared" si="3"/>
        <v>0.12013888888888888</v>
      </c>
      <c r="J13" s="4">
        <v>5</v>
      </c>
      <c r="K13" s="7"/>
      <c r="L13" s="39">
        <v>5.0694444444444452E-2</v>
      </c>
      <c r="M13" s="39">
        <v>7.0833333333333331E-2</v>
      </c>
      <c r="N13" s="39">
        <v>0.11666666666666665</v>
      </c>
      <c r="O13" s="39">
        <v>0.11805555555555557</v>
      </c>
      <c r="P13" s="91">
        <v>0.31939000000000001</v>
      </c>
      <c r="Q13" t="s">
        <v>45</v>
      </c>
      <c r="R13" t="s">
        <v>45</v>
      </c>
      <c r="S13" t="s">
        <v>45</v>
      </c>
      <c r="T13" t="s">
        <v>45</v>
      </c>
      <c r="U13" s="7"/>
      <c r="V13" s="13">
        <f t="shared" si="4"/>
        <v>28.999999999999986</v>
      </c>
      <c r="W13" s="13">
        <f t="shared" si="4"/>
        <v>65.999999999999986</v>
      </c>
      <c r="X13" s="40">
        <f t="shared" si="5"/>
        <v>8.0000000000000107</v>
      </c>
      <c r="Y13" s="4">
        <f t="shared" si="5"/>
        <v>6.9999999999999947</v>
      </c>
      <c r="Z13" s="4">
        <f t="shared" si="6"/>
        <v>-72</v>
      </c>
      <c r="AA13" s="4">
        <f t="shared" si="7"/>
        <v>-70.999999999999986</v>
      </c>
      <c r="AB13" s="4">
        <f t="shared" si="8"/>
        <v>-69.999999999999972</v>
      </c>
      <c r="AC13" s="13">
        <f t="shared" si="9"/>
        <v>2</v>
      </c>
      <c r="AD13" s="15">
        <f t="shared" si="10"/>
        <v>80.000000000000014</v>
      </c>
      <c r="AG13" s="18">
        <v>0</v>
      </c>
      <c r="AH13" s="19">
        <f t="shared" si="11"/>
        <v>30</v>
      </c>
      <c r="AI13" s="19">
        <v>145</v>
      </c>
      <c r="AJ13" s="19">
        <f t="shared" si="12"/>
        <v>174.99999999999997</v>
      </c>
      <c r="AK13" s="20">
        <f t="shared" si="18"/>
        <v>8.0000000000000107</v>
      </c>
      <c r="AL13" s="19">
        <f t="shared" si="13"/>
        <v>8.0000000000000107</v>
      </c>
      <c r="AM13" s="19">
        <f t="shared" si="14"/>
        <v>36.999999999999993</v>
      </c>
      <c r="AN13" s="19">
        <f t="shared" si="15"/>
        <v>36.999999999999993</v>
      </c>
      <c r="AO13" s="19">
        <f t="shared" si="16"/>
        <v>102.99999999999997</v>
      </c>
      <c r="AP13" s="19">
        <f t="shared" si="19"/>
        <v>70.499999999999986</v>
      </c>
      <c r="AQ13" s="19">
        <f t="shared" si="17"/>
        <v>104.99999999999997</v>
      </c>
      <c r="AR13" s="19">
        <f t="shared" si="20"/>
        <v>255</v>
      </c>
      <c r="AS13" s="47">
        <f t="shared" si="21"/>
        <v>-59.030500000000004</v>
      </c>
    </row>
    <row r="14" spans="1:49">
      <c r="A14" s="30">
        <f t="shared" si="0"/>
        <v>45821</v>
      </c>
      <c r="B14" s="31">
        <v>45821</v>
      </c>
      <c r="C14" s="32" t="s">
        <v>158</v>
      </c>
      <c r="D14" s="33">
        <v>4.5138888888888888E-2</v>
      </c>
      <c r="E14" s="35">
        <f t="shared" si="1"/>
        <v>6.5972222222222224E-2</v>
      </c>
      <c r="F14" s="34">
        <v>30</v>
      </c>
      <c r="G14" s="33">
        <v>0.16666666666666666</v>
      </c>
      <c r="H14" s="36">
        <f t="shared" si="2"/>
        <v>144.99999999999997</v>
      </c>
      <c r="I14" s="37">
        <f t="shared" si="3"/>
        <v>0.1423611111111111</v>
      </c>
      <c r="J14" s="4">
        <v>5</v>
      </c>
      <c r="K14" s="7"/>
      <c r="L14" s="39">
        <v>8.4027777777777771E-2</v>
      </c>
      <c r="M14" s="39">
        <v>9.5833333333333326E-2</v>
      </c>
      <c r="N14" s="39">
        <v>0.1388888888888889</v>
      </c>
      <c r="O14" s="39">
        <v>0.14027777777777778</v>
      </c>
      <c r="P14" s="91">
        <v>0.31933</v>
      </c>
      <c r="Q14" t="s">
        <v>45</v>
      </c>
      <c r="R14" t="s">
        <v>45</v>
      </c>
      <c r="S14" t="s">
        <v>45</v>
      </c>
      <c r="T14" t="s">
        <v>45</v>
      </c>
      <c r="U14" s="7"/>
      <c r="V14" s="13">
        <f t="shared" si="4"/>
        <v>17</v>
      </c>
      <c r="W14" s="13">
        <f t="shared" si="4"/>
        <v>62.000000000000021</v>
      </c>
      <c r="X14" s="40">
        <f t="shared" si="5"/>
        <v>55.999999999999993</v>
      </c>
      <c r="Y14" s="4">
        <f t="shared" si="5"/>
        <v>42.999999999999986</v>
      </c>
      <c r="Z14" s="4">
        <f t="shared" si="6"/>
        <v>-39.999999999999979</v>
      </c>
      <c r="AA14" s="4">
        <f t="shared" si="7"/>
        <v>-26.99999999999995</v>
      </c>
      <c r="AB14" s="4">
        <f t="shared" si="8"/>
        <v>-37.999999999999986</v>
      </c>
      <c r="AC14" s="13">
        <f t="shared" si="9"/>
        <v>2</v>
      </c>
      <c r="AD14" s="15">
        <f t="shared" si="10"/>
        <v>95.999999999999972</v>
      </c>
      <c r="AG14" s="18">
        <v>0</v>
      </c>
      <c r="AH14" s="19">
        <f t="shared" si="11"/>
        <v>30</v>
      </c>
      <c r="AI14" s="19">
        <v>145</v>
      </c>
      <c r="AJ14" s="19">
        <f t="shared" si="12"/>
        <v>174.99999999999997</v>
      </c>
      <c r="AK14" s="20">
        <f t="shared" si="18"/>
        <v>55.999999999999993</v>
      </c>
      <c r="AL14" s="19">
        <f t="shared" si="13"/>
        <v>55.999999999999993</v>
      </c>
      <c r="AM14" s="19">
        <f t="shared" si="14"/>
        <v>72.999999999999986</v>
      </c>
      <c r="AN14" s="19">
        <f t="shared" si="15"/>
        <v>72.999999999999986</v>
      </c>
      <c r="AO14" s="19">
        <f t="shared" si="16"/>
        <v>135</v>
      </c>
      <c r="AP14" s="19">
        <f t="shared" si="19"/>
        <v>86.5</v>
      </c>
      <c r="AQ14" s="19">
        <f t="shared" si="17"/>
        <v>137</v>
      </c>
      <c r="AR14" s="19">
        <f t="shared" si="20"/>
        <v>271</v>
      </c>
      <c r="AS14" s="47">
        <f t="shared" si="21"/>
        <v>-59.033500000000004</v>
      </c>
    </row>
    <row r="15" spans="1:49">
      <c r="A15" s="30">
        <f t="shared" si="0"/>
        <v>45822</v>
      </c>
      <c r="B15" s="31">
        <v>45822</v>
      </c>
      <c r="C15" s="32" t="s">
        <v>158</v>
      </c>
      <c r="D15" s="33">
        <v>4.5138888888888888E-2</v>
      </c>
      <c r="E15" s="35">
        <f t="shared" si="1"/>
        <v>6.5972222222222224E-2</v>
      </c>
      <c r="F15" s="34">
        <v>30</v>
      </c>
      <c r="G15" s="33">
        <v>0.16666666666666666</v>
      </c>
      <c r="H15" s="36">
        <f t="shared" si="2"/>
        <v>144.99999999999997</v>
      </c>
      <c r="I15" s="37">
        <f t="shared" si="3"/>
        <v>0.12569444444444444</v>
      </c>
      <c r="J15" s="4">
        <v>5</v>
      </c>
      <c r="K15" s="7"/>
      <c r="L15" s="39">
        <v>5.8333333333333327E-2</v>
      </c>
      <c r="M15" s="39">
        <v>7.8472222222222221E-2</v>
      </c>
      <c r="N15" s="39">
        <v>0.12222222222222223</v>
      </c>
      <c r="O15" s="39">
        <v>0.12361111111111112</v>
      </c>
      <c r="P15" s="91">
        <v>0.32199</v>
      </c>
      <c r="Q15" t="s">
        <v>45</v>
      </c>
      <c r="R15" t="s">
        <v>45</v>
      </c>
      <c r="S15" t="s">
        <v>45</v>
      </c>
      <c r="T15" t="s">
        <v>45</v>
      </c>
      <c r="U15" s="7"/>
      <c r="V15" s="13">
        <f t="shared" si="4"/>
        <v>29.000000000000007</v>
      </c>
      <c r="W15" s="13">
        <f t="shared" si="4"/>
        <v>63.000000000000014</v>
      </c>
      <c r="X15" s="40">
        <f t="shared" si="5"/>
        <v>18.999999999999993</v>
      </c>
      <c r="Y15" s="4">
        <f t="shared" si="5"/>
        <v>17.999999999999996</v>
      </c>
      <c r="Z15" s="4">
        <f t="shared" si="6"/>
        <v>-63.999999999999972</v>
      </c>
      <c r="AA15" s="4">
        <f t="shared" si="7"/>
        <v>-62.999999999999957</v>
      </c>
      <c r="AB15" s="4">
        <f t="shared" si="8"/>
        <v>-61.999999999999979</v>
      </c>
      <c r="AC15" s="13">
        <f t="shared" si="9"/>
        <v>2</v>
      </c>
      <c r="AD15" s="15">
        <f t="shared" si="10"/>
        <v>82.999999999999972</v>
      </c>
      <c r="AG15" s="18">
        <v>0</v>
      </c>
      <c r="AH15" s="19">
        <f t="shared" si="11"/>
        <v>30</v>
      </c>
      <c r="AI15" s="19">
        <v>145</v>
      </c>
      <c r="AJ15" s="19">
        <f t="shared" si="12"/>
        <v>174.99999999999997</v>
      </c>
      <c r="AK15" s="20">
        <f t="shared" si="18"/>
        <v>18.999999999999993</v>
      </c>
      <c r="AL15" s="19">
        <f t="shared" si="13"/>
        <v>18.999999999999993</v>
      </c>
      <c r="AM15" s="19">
        <f t="shared" si="14"/>
        <v>48</v>
      </c>
      <c r="AN15" s="19">
        <f t="shared" si="15"/>
        <v>48</v>
      </c>
      <c r="AO15" s="19">
        <f t="shared" si="16"/>
        <v>111.00000000000001</v>
      </c>
      <c r="AP15" s="19">
        <f t="shared" si="19"/>
        <v>74.5</v>
      </c>
      <c r="AQ15" s="19">
        <f t="shared" si="17"/>
        <v>113.00000000000001</v>
      </c>
      <c r="AR15" s="19">
        <f t="shared" si="20"/>
        <v>258</v>
      </c>
      <c r="AS15" s="47">
        <f t="shared" si="21"/>
        <v>-58.900500000000001</v>
      </c>
    </row>
    <row r="16" spans="1:49">
      <c r="A16" s="30">
        <f t="shared" si="0"/>
        <v>45823</v>
      </c>
      <c r="B16" s="31">
        <v>45823</v>
      </c>
      <c r="C16" s="32" t="s">
        <v>158</v>
      </c>
      <c r="D16" s="33">
        <v>4.5138888888888888E-2</v>
      </c>
      <c r="E16" s="35">
        <f t="shared" si="1"/>
        <v>6.5972222222222224E-2</v>
      </c>
      <c r="F16" s="34">
        <v>30</v>
      </c>
      <c r="G16" s="33">
        <v>0.16666666666666666</v>
      </c>
      <c r="H16" s="36">
        <f t="shared" si="2"/>
        <v>144.99999999999997</v>
      </c>
      <c r="I16" s="37">
        <f t="shared" si="3"/>
        <v>0.13402777777777777</v>
      </c>
      <c r="J16" s="4">
        <v>5</v>
      </c>
      <c r="K16" s="7"/>
      <c r="L16" s="39">
        <v>5.6250000000000001E-2</v>
      </c>
      <c r="M16" s="39">
        <v>7.5694444444444439E-2</v>
      </c>
      <c r="N16" s="39">
        <v>0.13055555555555556</v>
      </c>
      <c r="O16" s="39">
        <v>0.13125000000000001</v>
      </c>
      <c r="P16" s="91">
        <v>0.37228</v>
      </c>
      <c r="Q16" t="s">
        <v>45</v>
      </c>
      <c r="R16" t="s">
        <v>45</v>
      </c>
      <c r="S16" t="s">
        <v>45</v>
      </c>
      <c r="T16" t="s">
        <v>45</v>
      </c>
      <c r="U16" s="7"/>
      <c r="V16" s="13">
        <f t="shared" si="4"/>
        <v>27.999999999999989</v>
      </c>
      <c r="W16" s="13">
        <f t="shared" si="4"/>
        <v>79.000000000000014</v>
      </c>
      <c r="X16" s="40">
        <f t="shared" si="5"/>
        <v>16.000000000000004</v>
      </c>
      <c r="Y16" s="4">
        <f t="shared" si="5"/>
        <v>13.999999999999989</v>
      </c>
      <c r="Z16" s="4">
        <f t="shared" si="6"/>
        <v>-51.999999999999972</v>
      </c>
      <c r="AA16" s="4">
        <f t="shared" si="7"/>
        <v>-49.999999999999957</v>
      </c>
      <c r="AB16" s="4">
        <f t="shared" si="8"/>
        <v>-50.999999999999979</v>
      </c>
      <c r="AC16" s="13">
        <f t="shared" si="9"/>
        <v>1</v>
      </c>
      <c r="AD16" s="15">
        <f t="shared" si="10"/>
        <v>67.999999999999972</v>
      </c>
      <c r="AG16" s="18">
        <v>0</v>
      </c>
      <c r="AH16" s="19">
        <f t="shared" si="11"/>
        <v>30</v>
      </c>
      <c r="AI16" s="19">
        <v>145</v>
      </c>
      <c r="AJ16" s="19">
        <f t="shared" si="12"/>
        <v>174.99999999999997</v>
      </c>
      <c r="AK16" s="20">
        <f t="shared" si="18"/>
        <v>16.000000000000004</v>
      </c>
      <c r="AL16" s="19">
        <f t="shared" si="13"/>
        <v>16.000000000000004</v>
      </c>
      <c r="AM16" s="19">
        <f t="shared" si="14"/>
        <v>43.999999999999986</v>
      </c>
      <c r="AN16" s="19">
        <f t="shared" si="15"/>
        <v>43.999999999999986</v>
      </c>
      <c r="AO16" s="19">
        <f t="shared" si="16"/>
        <v>123</v>
      </c>
      <c r="AP16" s="19">
        <f t="shared" si="19"/>
        <v>80.5</v>
      </c>
      <c r="AQ16" s="19">
        <f t="shared" si="17"/>
        <v>124</v>
      </c>
      <c r="AR16" s="19">
        <f t="shared" si="20"/>
        <v>242.99999999999997</v>
      </c>
      <c r="AS16" s="47">
        <f t="shared" si="21"/>
        <v>-56.385999999999996</v>
      </c>
    </row>
    <row r="17" spans="1:45">
      <c r="A17" s="30">
        <f t="shared" si="0"/>
        <v>45824</v>
      </c>
      <c r="B17" s="31">
        <v>45824</v>
      </c>
      <c r="C17" s="32" t="s">
        <v>158</v>
      </c>
      <c r="D17" s="33">
        <v>4.5138888888888888E-2</v>
      </c>
      <c r="E17" s="35">
        <f t="shared" si="1"/>
        <v>6.5972222222222224E-2</v>
      </c>
      <c r="F17" s="34">
        <v>30</v>
      </c>
      <c r="G17" s="33">
        <v>0.16666666666666666</v>
      </c>
      <c r="H17" s="36">
        <f t="shared" si="2"/>
        <v>144.99999999999997</v>
      </c>
      <c r="I17" s="37">
        <f t="shared" si="3"/>
        <v>0.12083333333333332</v>
      </c>
      <c r="J17" s="4">
        <v>5</v>
      </c>
      <c r="K17" s="7"/>
      <c r="L17" s="39">
        <v>5.5555555555555552E-2</v>
      </c>
      <c r="M17" s="39">
        <v>7.4999999999999997E-2</v>
      </c>
      <c r="N17" s="39">
        <v>0.1173611111111111</v>
      </c>
      <c r="O17" s="39">
        <v>0.11944444444444445</v>
      </c>
      <c r="P17" s="91">
        <v>0.31983</v>
      </c>
      <c r="Q17" t="s">
        <v>45</v>
      </c>
      <c r="R17" t="s">
        <v>45</v>
      </c>
      <c r="S17" t="s">
        <v>45</v>
      </c>
      <c r="T17" t="s">
        <v>45</v>
      </c>
      <c r="U17" s="7"/>
      <c r="V17" s="13">
        <f t="shared" si="4"/>
        <v>28</v>
      </c>
      <c r="W17" s="13">
        <f t="shared" si="4"/>
        <v>60.999999999999986</v>
      </c>
      <c r="X17" s="40">
        <f t="shared" si="5"/>
        <v>14.999999999999996</v>
      </c>
      <c r="Y17" s="4">
        <f t="shared" si="5"/>
        <v>12.999999999999993</v>
      </c>
      <c r="Z17" s="4">
        <f t="shared" si="6"/>
        <v>-71.000000000000014</v>
      </c>
      <c r="AA17" s="4">
        <f t="shared" si="7"/>
        <v>-68.999999999999986</v>
      </c>
      <c r="AB17" s="4">
        <f t="shared" si="8"/>
        <v>-67.999999999999972</v>
      </c>
      <c r="AC17" s="13">
        <f t="shared" si="9"/>
        <v>3</v>
      </c>
      <c r="AD17" s="15">
        <f t="shared" si="10"/>
        <v>86.000000000000014</v>
      </c>
      <c r="AG17" s="18">
        <v>0</v>
      </c>
      <c r="AH17" s="19">
        <f t="shared" si="11"/>
        <v>30</v>
      </c>
      <c r="AI17" s="19">
        <v>145</v>
      </c>
      <c r="AJ17" s="19">
        <f t="shared" si="12"/>
        <v>174.99999999999997</v>
      </c>
      <c r="AK17" s="20">
        <f t="shared" si="18"/>
        <v>14.999999999999996</v>
      </c>
      <c r="AL17" s="19">
        <f t="shared" si="13"/>
        <v>14.999999999999996</v>
      </c>
      <c r="AM17" s="19">
        <f t="shared" si="14"/>
        <v>42.999999999999993</v>
      </c>
      <c r="AN17" s="19">
        <f t="shared" si="15"/>
        <v>42.999999999999993</v>
      </c>
      <c r="AO17" s="19">
        <f t="shared" si="16"/>
        <v>103.99999999999997</v>
      </c>
      <c r="AP17" s="19">
        <f t="shared" si="19"/>
        <v>70.999999999999986</v>
      </c>
      <c r="AQ17" s="19">
        <f t="shared" si="17"/>
        <v>106.99999999999997</v>
      </c>
      <c r="AR17" s="19">
        <f t="shared" si="20"/>
        <v>261</v>
      </c>
      <c r="AS17" s="47">
        <f t="shared" si="21"/>
        <v>-59.008499999999998</v>
      </c>
    </row>
    <row r="18" spans="1:45">
      <c r="A18" s="30">
        <f t="shared" si="0"/>
        <v>45825</v>
      </c>
      <c r="B18" s="31">
        <v>45825</v>
      </c>
      <c r="C18" s="32" t="s">
        <v>158</v>
      </c>
      <c r="D18" s="33">
        <v>4.5138888888888888E-2</v>
      </c>
      <c r="E18" s="35">
        <f t="shared" si="1"/>
        <v>6.5972222222222224E-2</v>
      </c>
      <c r="F18" s="34">
        <v>30</v>
      </c>
      <c r="G18" s="33">
        <v>0.16666666666666666</v>
      </c>
      <c r="H18" s="36">
        <f t="shared" si="2"/>
        <v>144.99999999999997</v>
      </c>
      <c r="I18" s="37">
        <f t="shared" si="3"/>
        <v>0.11597222222222223</v>
      </c>
      <c r="J18" s="4">
        <v>5</v>
      </c>
      <c r="K18" s="7"/>
      <c r="L18" s="39">
        <v>5.7638888888888885E-2</v>
      </c>
      <c r="M18" s="39">
        <v>6.9444444444444434E-2</v>
      </c>
      <c r="N18" s="39">
        <v>0.1125</v>
      </c>
      <c r="O18" s="39">
        <v>0.11388888888888889</v>
      </c>
      <c r="P18" s="91">
        <v>0.31358000000000003</v>
      </c>
      <c r="Q18" t="s">
        <v>45</v>
      </c>
      <c r="R18" t="s">
        <v>45</v>
      </c>
      <c r="S18" t="s">
        <v>45</v>
      </c>
      <c r="T18" t="s">
        <v>45</v>
      </c>
      <c r="U18" s="7"/>
      <c r="V18" s="13">
        <f t="shared" ref="V18:W31" si="22">((M18-L18)*1440)</f>
        <v>16.999999999999989</v>
      </c>
      <c r="W18" s="13">
        <f t="shared" si="22"/>
        <v>62.000000000000021</v>
      </c>
      <c r="X18" s="40">
        <f t="shared" ref="X18:Y31" si="23">((L18-D18)*1440)</f>
        <v>17.999999999999996</v>
      </c>
      <c r="Y18" s="4">
        <f t="shared" si="23"/>
        <v>4.9999999999999822</v>
      </c>
      <c r="Z18" s="4">
        <f t="shared" si="6"/>
        <v>-77.999999999999986</v>
      </c>
      <c r="AA18" s="4">
        <f t="shared" si="7"/>
        <v>-64.999999999999943</v>
      </c>
      <c r="AB18" s="4">
        <f t="shared" si="8"/>
        <v>-75.999999999999986</v>
      </c>
      <c r="AC18" s="13">
        <f t="shared" si="9"/>
        <v>2</v>
      </c>
      <c r="AD18" s="15">
        <f t="shared" si="10"/>
        <v>95.999999999999986</v>
      </c>
      <c r="AG18" s="18">
        <v>0</v>
      </c>
      <c r="AH18" s="19">
        <f t="shared" si="11"/>
        <v>30</v>
      </c>
      <c r="AI18" s="19">
        <v>145</v>
      </c>
      <c r="AJ18" s="19">
        <f t="shared" si="12"/>
        <v>174.99999999999997</v>
      </c>
      <c r="AK18" s="20">
        <f t="shared" si="18"/>
        <v>17.999999999999996</v>
      </c>
      <c r="AL18" s="19">
        <f t="shared" si="13"/>
        <v>17.999999999999996</v>
      </c>
      <c r="AM18" s="19">
        <f t="shared" si="14"/>
        <v>34.999999999999986</v>
      </c>
      <c r="AN18" s="19">
        <f t="shared" si="15"/>
        <v>34.999999999999986</v>
      </c>
      <c r="AO18" s="19">
        <f t="shared" si="16"/>
        <v>97</v>
      </c>
      <c r="AP18" s="19">
        <f t="shared" si="19"/>
        <v>67.5</v>
      </c>
      <c r="AQ18" s="19">
        <f t="shared" si="17"/>
        <v>99</v>
      </c>
      <c r="AR18" s="19">
        <f t="shared" si="20"/>
        <v>271</v>
      </c>
      <c r="AS18" s="47">
        <f t="shared" si="21"/>
        <v>-59.320999999999998</v>
      </c>
    </row>
    <row r="19" spans="1:45">
      <c r="A19" s="30">
        <f t="shared" si="0"/>
        <v>45826</v>
      </c>
      <c r="B19" s="31">
        <v>45826</v>
      </c>
      <c r="C19" s="32" t="s">
        <v>158</v>
      </c>
      <c r="D19" s="33">
        <v>4.5138888888888888E-2</v>
      </c>
      <c r="E19" s="35">
        <f t="shared" si="1"/>
        <v>6.5972222222222224E-2</v>
      </c>
      <c r="F19" s="34">
        <v>30</v>
      </c>
      <c r="G19" s="33">
        <v>0.16666666666666666</v>
      </c>
      <c r="H19" s="36">
        <f t="shared" si="2"/>
        <v>144.99999999999997</v>
      </c>
      <c r="I19" s="37">
        <f t="shared" si="3"/>
        <v>0.12222222222222223</v>
      </c>
      <c r="J19" s="4">
        <v>5</v>
      </c>
      <c r="K19" s="7"/>
      <c r="L19" s="39">
        <v>5.347222222222222E-2</v>
      </c>
      <c r="M19" s="39">
        <v>7.2916666666666671E-2</v>
      </c>
      <c r="N19" s="39">
        <v>0.11875000000000001</v>
      </c>
      <c r="O19" s="39">
        <v>0.11944444444444445</v>
      </c>
      <c r="P19" s="91">
        <v>0.32218000000000002</v>
      </c>
      <c r="Q19" t="s">
        <v>45</v>
      </c>
      <c r="R19" t="s">
        <v>45</v>
      </c>
      <c r="S19" t="s">
        <v>45</v>
      </c>
      <c r="T19" t="s">
        <v>45</v>
      </c>
      <c r="U19" s="7"/>
      <c r="V19" s="13">
        <f t="shared" si="22"/>
        <v>28.000000000000011</v>
      </c>
      <c r="W19" s="13">
        <f t="shared" si="22"/>
        <v>66</v>
      </c>
      <c r="X19" s="40">
        <f t="shared" si="23"/>
        <v>11.999999999999996</v>
      </c>
      <c r="Y19" s="4">
        <f t="shared" si="23"/>
        <v>10.000000000000004</v>
      </c>
      <c r="Z19" s="4">
        <f t="shared" si="6"/>
        <v>-68.999999999999972</v>
      </c>
      <c r="AA19" s="4">
        <f t="shared" si="7"/>
        <v>-66.999999999999972</v>
      </c>
      <c r="AB19" s="4">
        <f t="shared" si="8"/>
        <v>-67.999999999999972</v>
      </c>
      <c r="AC19" s="13">
        <f t="shared" si="9"/>
        <v>1</v>
      </c>
      <c r="AD19" s="15">
        <f t="shared" si="10"/>
        <v>80.999999999999972</v>
      </c>
      <c r="AG19" s="18">
        <v>0</v>
      </c>
      <c r="AH19" s="19">
        <f t="shared" si="11"/>
        <v>30</v>
      </c>
      <c r="AI19" s="19">
        <v>145</v>
      </c>
      <c r="AJ19" s="19">
        <f t="shared" si="12"/>
        <v>174.99999999999997</v>
      </c>
      <c r="AK19" s="20">
        <f t="shared" si="18"/>
        <v>11.999999999999996</v>
      </c>
      <c r="AL19" s="19">
        <f t="shared" si="13"/>
        <v>11.999999999999996</v>
      </c>
      <c r="AM19" s="19">
        <f t="shared" si="14"/>
        <v>40</v>
      </c>
      <c r="AN19" s="19">
        <f t="shared" si="15"/>
        <v>40</v>
      </c>
      <c r="AO19" s="19">
        <f t="shared" si="16"/>
        <v>106</v>
      </c>
      <c r="AP19" s="19">
        <f t="shared" si="19"/>
        <v>72</v>
      </c>
      <c r="AQ19" s="19">
        <f t="shared" si="17"/>
        <v>107</v>
      </c>
      <c r="AR19" s="19">
        <f t="shared" si="20"/>
        <v>255.99999999999997</v>
      </c>
      <c r="AS19" s="47">
        <f t="shared" si="21"/>
        <v>-58.890999999999998</v>
      </c>
    </row>
    <row r="20" spans="1:45">
      <c r="A20" s="30">
        <f t="shared" si="0"/>
        <v>45827</v>
      </c>
      <c r="B20" s="31">
        <v>45827</v>
      </c>
      <c r="C20" s="32" t="s">
        <v>158</v>
      </c>
      <c r="D20" s="92">
        <v>4.5138888888888888E-2</v>
      </c>
      <c r="E20" s="35">
        <f t="shared" si="1"/>
        <v>6.5972222222222224E-2</v>
      </c>
      <c r="F20" s="34">
        <v>30</v>
      </c>
      <c r="G20" s="33">
        <v>0.16666666666666666</v>
      </c>
      <c r="H20" s="36">
        <f t="shared" si="2"/>
        <v>144.99999999999997</v>
      </c>
      <c r="I20" s="37">
        <f t="shared" si="3"/>
        <v>9.9999999999999992E-2</v>
      </c>
      <c r="J20" s="4">
        <v>5</v>
      </c>
      <c r="K20" s="7"/>
      <c r="L20" s="39">
        <v>3.3333333333333333E-2</v>
      </c>
      <c r="M20" s="39">
        <v>5.347222222222222E-2</v>
      </c>
      <c r="N20" s="39">
        <v>9.6527777777777768E-2</v>
      </c>
      <c r="O20" s="39">
        <v>9.8611111111111108E-2</v>
      </c>
      <c r="P20" s="91">
        <v>0.31947999999999999</v>
      </c>
      <c r="Q20" t="s">
        <v>45</v>
      </c>
      <c r="R20" t="s">
        <v>44</v>
      </c>
      <c r="S20" t="s">
        <v>45</v>
      </c>
      <c r="T20" t="s">
        <v>45</v>
      </c>
      <c r="U20" s="7"/>
      <c r="V20" s="13">
        <f t="shared" si="22"/>
        <v>28.999999999999996</v>
      </c>
      <c r="W20" s="13">
        <f t="shared" si="22"/>
        <v>61.999999999999993</v>
      </c>
      <c r="X20" s="40">
        <f t="shared" si="23"/>
        <v>-17</v>
      </c>
      <c r="Y20" s="4">
        <f t="shared" si="23"/>
        <v>-18.000000000000007</v>
      </c>
      <c r="Z20" s="4">
        <f t="shared" si="6"/>
        <v>-101</v>
      </c>
      <c r="AA20" s="4">
        <f t="shared" si="7"/>
        <v>-99.999999999999972</v>
      </c>
      <c r="AB20" s="4">
        <f t="shared" si="8"/>
        <v>-97.999999999999986</v>
      </c>
      <c r="AC20" s="13">
        <f t="shared" si="9"/>
        <v>3</v>
      </c>
      <c r="AD20" s="15">
        <f t="shared" si="10"/>
        <v>84</v>
      </c>
      <c r="AG20" s="18">
        <v>0</v>
      </c>
      <c r="AH20" s="19">
        <f t="shared" si="11"/>
        <v>30</v>
      </c>
      <c r="AI20" s="19">
        <v>145</v>
      </c>
      <c r="AJ20" s="19">
        <f t="shared" si="12"/>
        <v>174.99999999999997</v>
      </c>
      <c r="AK20" s="20">
        <f t="shared" si="18"/>
        <v>-17</v>
      </c>
      <c r="AL20" s="19">
        <f>AK20</f>
        <v>-17</v>
      </c>
      <c r="AM20" s="19">
        <f t="shared" si="14"/>
        <v>11.999999999999993</v>
      </c>
      <c r="AN20" s="19">
        <f t="shared" si="15"/>
        <v>11.999999999999993</v>
      </c>
      <c r="AO20" s="19">
        <f t="shared" si="16"/>
        <v>73.999999999999986</v>
      </c>
      <c r="AP20" s="19">
        <f t="shared" si="19"/>
        <v>55.999999999999993</v>
      </c>
      <c r="AQ20" s="19">
        <f t="shared" si="17"/>
        <v>76.999999999999986</v>
      </c>
      <c r="AR20" s="19">
        <f t="shared" si="20"/>
        <v>259</v>
      </c>
      <c r="AS20" s="47">
        <f t="shared" si="21"/>
        <v>-59.025999999999996</v>
      </c>
    </row>
    <row r="21" spans="1:45">
      <c r="A21" s="30">
        <f t="shared" si="0"/>
        <v>45828</v>
      </c>
      <c r="B21" s="31">
        <v>45828</v>
      </c>
      <c r="C21" s="32" t="s">
        <v>158</v>
      </c>
      <c r="D21" s="92">
        <v>4.5138888888888888E-2</v>
      </c>
      <c r="E21" s="35">
        <f t="shared" si="1"/>
        <v>6.5972222222222224E-2</v>
      </c>
      <c r="F21" s="34">
        <v>30</v>
      </c>
      <c r="G21" s="33">
        <v>0.16666666666666666</v>
      </c>
      <c r="H21" s="36">
        <f t="shared" si="2"/>
        <v>144.99999999999997</v>
      </c>
      <c r="I21" s="37">
        <f t="shared" si="3"/>
        <v>0.12291666666666667</v>
      </c>
      <c r="J21" s="4">
        <v>5</v>
      </c>
      <c r="K21" s="7"/>
      <c r="L21" s="39">
        <v>5.2083333333333336E-2</v>
      </c>
      <c r="M21" s="39">
        <v>7.2222222222222229E-2</v>
      </c>
      <c r="N21" s="39">
        <v>0.11944444444444445</v>
      </c>
      <c r="O21" s="39">
        <v>0.12013888888888889</v>
      </c>
      <c r="P21" s="91">
        <v>0.31933</v>
      </c>
      <c r="Q21" t="s">
        <v>45</v>
      </c>
      <c r="R21" t="s">
        <v>45</v>
      </c>
      <c r="S21" t="s">
        <v>45</v>
      </c>
      <c r="T21" t="s">
        <v>45</v>
      </c>
      <c r="U21" s="7"/>
      <c r="V21" s="13">
        <f t="shared" si="22"/>
        <v>29.000000000000007</v>
      </c>
      <c r="W21" s="13">
        <f t="shared" si="22"/>
        <v>68</v>
      </c>
      <c r="X21" s="40">
        <f t="shared" si="23"/>
        <v>10.000000000000004</v>
      </c>
      <c r="Y21" s="4">
        <f t="shared" si="23"/>
        <v>9.0000000000000071</v>
      </c>
      <c r="Z21" s="4">
        <f t="shared" si="6"/>
        <v>-67.999999999999972</v>
      </c>
      <c r="AA21" s="4">
        <f t="shared" si="7"/>
        <v>-66.999999999999972</v>
      </c>
      <c r="AB21" s="4">
        <f t="shared" si="8"/>
        <v>-66.999999999999986</v>
      </c>
      <c r="AC21" s="13">
        <f t="shared" si="9"/>
        <v>1</v>
      </c>
      <c r="AD21" s="15">
        <f t="shared" si="10"/>
        <v>77.999999999999972</v>
      </c>
      <c r="AG21" s="18">
        <v>0</v>
      </c>
      <c r="AH21" s="19">
        <f t="shared" si="11"/>
        <v>30</v>
      </c>
      <c r="AI21" s="19">
        <v>145</v>
      </c>
      <c r="AJ21" s="19">
        <f t="shared" si="12"/>
        <v>174.99999999999997</v>
      </c>
      <c r="AK21" s="20">
        <f t="shared" si="18"/>
        <v>10.000000000000004</v>
      </c>
      <c r="AL21" s="19">
        <f t="shared" ref="AL21:AL31" si="24">AK21</f>
        <v>10.000000000000004</v>
      </c>
      <c r="AM21" s="19">
        <f t="shared" si="14"/>
        <v>39.000000000000007</v>
      </c>
      <c r="AN21" s="19">
        <f t="shared" si="15"/>
        <v>39.000000000000007</v>
      </c>
      <c r="AO21" s="19">
        <f t="shared" si="16"/>
        <v>107</v>
      </c>
      <c r="AP21" s="19">
        <f t="shared" si="19"/>
        <v>72.5</v>
      </c>
      <c r="AQ21" s="19">
        <f t="shared" si="17"/>
        <v>108</v>
      </c>
      <c r="AR21" s="19">
        <f t="shared" si="20"/>
        <v>252.99999999999997</v>
      </c>
      <c r="AS21" s="47">
        <f t="shared" si="21"/>
        <v>-59.033500000000004</v>
      </c>
    </row>
    <row r="22" spans="1:45">
      <c r="A22" s="30">
        <f t="shared" si="0"/>
        <v>45829</v>
      </c>
      <c r="B22" s="31">
        <v>45829</v>
      </c>
      <c r="C22" s="32" t="s">
        <v>158</v>
      </c>
      <c r="D22" s="93">
        <v>4.5138888888888888E-2</v>
      </c>
      <c r="E22" s="35">
        <f t="shared" si="1"/>
        <v>6.5972222222222224E-2</v>
      </c>
      <c r="F22" s="34">
        <v>30</v>
      </c>
      <c r="G22" s="33">
        <v>0.16666666666666666</v>
      </c>
      <c r="H22" s="36">
        <f t="shared" si="2"/>
        <v>144.99999999999997</v>
      </c>
      <c r="I22" s="37">
        <f t="shared" si="3"/>
        <v>0.10833333333333334</v>
      </c>
      <c r="J22" s="4">
        <v>5</v>
      </c>
      <c r="K22" s="7"/>
      <c r="L22" s="39">
        <v>4.0972222222222222E-2</v>
      </c>
      <c r="M22" s="39">
        <v>6.1111111111111116E-2</v>
      </c>
      <c r="N22" s="39">
        <v>0.10486111111111111</v>
      </c>
      <c r="O22" s="39">
        <v>0.10694444444444444</v>
      </c>
      <c r="P22" s="91">
        <v>0.32079000000000002</v>
      </c>
      <c r="Q22" t="s">
        <v>45</v>
      </c>
      <c r="R22" t="s">
        <v>45</v>
      </c>
      <c r="S22" t="s">
        <v>45</v>
      </c>
      <c r="T22" t="s">
        <v>45</v>
      </c>
      <c r="U22" s="7"/>
      <c r="V22" s="13">
        <f t="shared" si="22"/>
        <v>29.000000000000007</v>
      </c>
      <c r="W22" s="13">
        <f t="shared" si="22"/>
        <v>62.999999999999993</v>
      </c>
      <c r="X22" s="40">
        <f t="shared" si="23"/>
        <v>-5.9999999999999982</v>
      </c>
      <c r="Y22" s="4">
        <f t="shared" si="23"/>
        <v>-6.9999999999999947</v>
      </c>
      <c r="Z22" s="4">
        <f t="shared" si="6"/>
        <v>-88.999999999999986</v>
      </c>
      <c r="AA22" s="4">
        <f t="shared" si="7"/>
        <v>-87.999999999999972</v>
      </c>
      <c r="AB22" s="4">
        <f t="shared" si="8"/>
        <v>-86</v>
      </c>
      <c r="AC22" s="13">
        <f t="shared" si="9"/>
        <v>3</v>
      </c>
      <c r="AD22" s="15">
        <f t="shared" si="10"/>
        <v>82.999999999999986</v>
      </c>
      <c r="AG22" s="18">
        <v>0</v>
      </c>
      <c r="AH22" s="19">
        <f t="shared" si="11"/>
        <v>30</v>
      </c>
      <c r="AI22" s="19">
        <v>145</v>
      </c>
      <c r="AJ22" s="19">
        <f t="shared" si="12"/>
        <v>174.99999999999997</v>
      </c>
      <c r="AK22" s="20">
        <f t="shared" si="18"/>
        <v>-5.9999999999999982</v>
      </c>
      <c r="AL22" s="19">
        <f t="shared" si="24"/>
        <v>-5.9999999999999982</v>
      </c>
      <c r="AM22" s="19">
        <f t="shared" si="14"/>
        <v>23.000000000000007</v>
      </c>
      <c r="AN22" s="19">
        <f t="shared" si="15"/>
        <v>23.000000000000007</v>
      </c>
      <c r="AO22" s="19">
        <f t="shared" si="16"/>
        <v>86</v>
      </c>
      <c r="AP22" s="19">
        <f t="shared" si="19"/>
        <v>62</v>
      </c>
      <c r="AQ22" s="19">
        <f t="shared" si="17"/>
        <v>89</v>
      </c>
      <c r="AR22" s="19">
        <f t="shared" si="20"/>
        <v>258</v>
      </c>
      <c r="AS22" s="47">
        <f t="shared" si="21"/>
        <v>-58.960499999999996</v>
      </c>
    </row>
    <row r="23" spans="1:45">
      <c r="A23" s="30">
        <f t="shared" si="0"/>
        <v>45830</v>
      </c>
      <c r="B23" s="31">
        <v>45830</v>
      </c>
      <c r="C23" s="32" t="s">
        <v>158</v>
      </c>
      <c r="D23" s="33">
        <v>4.5138888888888888E-2</v>
      </c>
      <c r="E23" s="35">
        <f t="shared" si="1"/>
        <v>6.5972222222222224E-2</v>
      </c>
      <c r="F23" s="34">
        <v>30</v>
      </c>
      <c r="G23" s="33">
        <v>0.16666666666666666</v>
      </c>
      <c r="H23" s="36">
        <f t="shared" si="2"/>
        <v>144.99999999999997</v>
      </c>
      <c r="I23" s="37">
        <f t="shared" si="3"/>
        <v>0.12986111111111109</v>
      </c>
      <c r="J23" s="4">
        <v>5</v>
      </c>
      <c r="K23" s="7"/>
      <c r="L23" s="39">
        <v>6.458333333333334E-2</v>
      </c>
      <c r="M23" s="39">
        <v>7.7083333333333337E-2</v>
      </c>
      <c r="N23" s="39">
        <v>0.12638888888888888</v>
      </c>
      <c r="O23" s="39">
        <v>0.12708333333333333</v>
      </c>
      <c r="P23" s="91">
        <v>0.37297999999999998</v>
      </c>
      <c r="Q23" t="s">
        <v>45</v>
      </c>
      <c r="R23" t="s">
        <v>44</v>
      </c>
      <c r="S23" t="s">
        <v>45</v>
      </c>
      <c r="T23" t="s">
        <v>45</v>
      </c>
      <c r="U23" s="7"/>
      <c r="V23" s="13">
        <f t="shared" si="22"/>
        <v>17.999999999999996</v>
      </c>
      <c r="W23" s="13">
        <f t="shared" si="22"/>
        <v>70.999999999999986</v>
      </c>
      <c r="X23" s="40">
        <f t="shared" si="23"/>
        <v>28.000000000000011</v>
      </c>
      <c r="Y23" s="4">
        <f t="shared" si="23"/>
        <v>16.000000000000004</v>
      </c>
      <c r="Z23" s="4">
        <f t="shared" si="6"/>
        <v>-57.999999999999993</v>
      </c>
      <c r="AA23" s="4">
        <f t="shared" si="7"/>
        <v>-45.999999999999972</v>
      </c>
      <c r="AB23" s="4">
        <f t="shared" si="8"/>
        <v>-57</v>
      </c>
      <c r="AC23" s="13">
        <f t="shared" si="9"/>
        <v>1</v>
      </c>
      <c r="AD23" s="15">
        <f t="shared" si="10"/>
        <v>86</v>
      </c>
      <c r="AG23" s="18">
        <v>0</v>
      </c>
      <c r="AH23" s="19">
        <f t="shared" si="11"/>
        <v>30</v>
      </c>
      <c r="AI23" s="19">
        <v>145</v>
      </c>
      <c r="AJ23" s="19">
        <f t="shared" si="12"/>
        <v>174.99999999999997</v>
      </c>
      <c r="AK23" s="20">
        <f t="shared" si="18"/>
        <v>28.000000000000011</v>
      </c>
      <c r="AL23" s="19">
        <f t="shared" si="24"/>
        <v>28.000000000000011</v>
      </c>
      <c r="AM23" s="19">
        <f t="shared" si="14"/>
        <v>46</v>
      </c>
      <c r="AN23" s="19">
        <f t="shared" si="15"/>
        <v>46</v>
      </c>
      <c r="AO23" s="19">
        <f t="shared" si="16"/>
        <v>116.99999999999999</v>
      </c>
      <c r="AP23" s="19">
        <f t="shared" si="19"/>
        <v>77.5</v>
      </c>
      <c r="AQ23" s="19">
        <f t="shared" si="17"/>
        <v>117.99999999999999</v>
      </c>
      <c r="AR23" s="19">
        <f t="shared" si="20"/>
        <v>261</v>
      </c>
      <c r="AS23" s="47">
        <f t="shared" si="21"/>
        <v>-56.350999999999999</v>
      </c>
    </row>
    <row r="24" spans="1:45">
      <c r="A24" s="30">
        <f t="shared" si="0"/>
        <v>45831</v>
      </c>
      <c r="B24" s="31">
        <v>45831</v>
      </c>
      <c r="C24" s="32" t="s">
        <v>158</v>
      </c>
      <c r="D24" s="33">
        <v>4.5138888888888888E-2</v>
      </c>
      <c r="E24" s="35">
        <f t="shared" si="1"/>
        <v>6.5972222222222224E-2</v>
      </c>
      <c r="F24" s="34">
        <v>30</v>
      </c>
      <c r="G24" s="33">
        <v>0.16666666666666666</v>
      </c>
      <c r="H24" s="36">
        <f t="shared" si="2"/>
        <v>144.99999999999997</v>
      </c>
      <c r="I24" s="37">
        <f t="shared" si="3"/>
        <v>0.12152777777777779</v>
      </c>
      <c r="J24" s="4">
        <v>5</v>
      </c>
      <c r="K24" s="7"/>
      <c r="L24" s="39">
        <v>5.486111111111111E-2</v>
      </c>
      <c r="M24" s="39">
        <v>7.4305555555555555E-2</v>
      </c>
      <c r="N24" s="39">
        <v>0.11805555555555557</v>
      </c>
      <c r="O24" s="39">
        <v>0.11944444444444445</v>
      </c>
      <c r="P24" s="91">
        <v>0.31913000000000002</v>
      </c>
      <c r="Q24" t="s">
        <v>45</v>
      </c>
      <c r="R24" t="s">
        <v>44</v>
      </c>
      <c r="S24" t="s">
        <v>45</v>
      </c>
      <c r="T24" t="s">
        <v>45</v>
      </c>
      <c r="U24" s="7"/>
      <c r="V24" s="13">
        <f t="shared" si="22"/>
        <v>28</v>
      </c>
      <c r="W24" s="13">
        <f t="shared" si="22"/>
        <v>63.000000000000014</v>
      </c>
      <c r="X24" s="40">
        <f t="shared" si="23"/>
        <v>14</v>
      </c>
      <c r="Y24" s="4">
        <f t="shared" si="23"/>
        <v>11.999999999999996</v>
      </c>
      <c r="Z24" s="4">
        <f t="shared" si="6"/>
        <v>-69.999999999999972</v>
      </c>
      <c r="AA24" s="4">
        <f t="shared" si="7"/>
        <v>-67.999999999999957</v>
      </c>
      <c r="AB24" s="4">
        <f t="shared" si="8"/>
        <v>-67.999999999999972</v>
      </c>
      <c r="AC24" s="13">
        <f t="shared" si="9"/>
        <v>2</v>
      </c>
      <c r="AD24" s="15">
        <f t="shared" si="10"/>
        <v>83.999999999999972</v>
      </c>
      <c r="AG24" s="18">
        <v>0</v>
      </c>
      <c r="AH24" s="19">
        <f t="shared" si="11"/>
        <v>30</v>
      </c>
      <c r="AI24" s="19">
        <v>145</v>
      </c>
      <c r="AJ24" s="19">
        <f t="shared" si="12"/>
        <v>174.99999999999997</v>
      </c>
      <c r="AK24" s="20">
        <f t="shared" si="18"/>
        <v>14</v>
      </c>
      <c r="AL24" s="19">
        <f t="shared" si="24"/>
        <v>14</v>
      </c>
      <c r="AM24" s="19">
        <f t="shared" si="14"/>
        <v>42</v>
      </c>
      <c r="AN24" s="19">
        <f t="shared" si="15"/>
        <v>42</v>
      </c>
      <c r="AO24" s="19">
        <f t="shared" si="16"/>
        <v>105.00000000000001</v>
      </c>
      <c r="AP24" s="19">
        <f t="shared" si="19"/>
        <v>71.5</v>
      </c>
      <c r="AQ24" s="19">
        <f t="shared" si="17"/>
        <v>107.00000000000001</v>
      </c>
      <c r="AR24" s="19">
        <f t="shared" si="20"/>
        <v>259</v>
      </c>
      <c r="AS24" s="47">
        <f t="shared" si="21"/>
        <v>-59.043499999999995</v>
      </c>
    </row>
    <row r="25" spans="1:45">
      <c r="A25" s="30">
        <f t="shared" si="0"/>
        <v>45832</v>
      </c>
      <c r="B25" s="31">
        <v>45832</v>
      </c>
      <c r="C25" s="32" t="s">
        <v>158</v>
      </c>
      <c r="D25" s="93">
        <v>4.5138888888888888E-2</v>
      </c>
      <c r="E25" s="35">
        <f t="shared" si="1"/>
        <v>6.5972222222222224E-2</v>
      </c>
      <c r="F25" s="34">
        <v>30</v>
      </c>
      <c r="G25" s="33">
        <v>0.16666666666666666</v>
      </c>
      <c r="H25" s="36">
        <f t="shared" si="2"/>
        <v>144.99999999999997</v>
      </c>
      <c r="I25" s="37">
        <f t="shared" si="3"/>
        <v>0.12638888888888888</v>
      </c>
      <c r="J25" s="4">
        <v>5</v>
      </c>
      <c r="K25" s="7"/>
      <c r="L25" s="39">
        <v>5.2777777777777778E-2</v>
      </c>
      <c r="M25" s="39">
        <v>7.2916666666666671E-2</v>
      </c>
      <c r="N25" s="39">
        <v>0.12291666666666667</v>
      </c>
      <c r="O25" s="39">
        <v>0.12361111111111112</v>
      </c>
      <c r="P25" s="91">
        <v>0.31308999999999998</v>
      </c>
      <c r="Q25" t="s">
        <v>45</v>
      </c>
      <c r="R25" t="s">
        <v>45</v>
      </c>
      <c r="S25" t="s">
        <v>45</v>
      </c>
      <c r="T25" t="s">
        <v>45</v>
      </c>
      <c r="U25" s="7"/>
      <c r="V25" s="13">
        <f t="shared" si="22"/>
        <v>29.000000000000007</v>
      </c>
      <c r="W25" s="13">
        <f t="shared" si="22"/>
        <v>72</v>
      </c>
      <c r="X25" s="40">
        <f t="shared" si="23"/>
        <v>11</v>
      </c>
      <c r="Y25" s="4">
        <f t="shared" si="23"/>
        <v>10.000000000000004</v>
      </c>
      <c r="Z25" s="4">
        <f t="shared" si="6"/>
        <v>-62.999999999999979</v>
      </c>
      <c r="AA25" s="4">
        <f t="shared" si="7"/>
        <v>-61.999999999999972</v>
      </c>
      <c r="AB25" s="4">
        <f t="shared" si="8"/>
        <v>-61.999999999999979</v>
      </c>
      <c r="AC25" s="13">
        <f t="shared" si="9"/>
        <v>1</v>
      </c>
      <c r="AD25" s="15">
        <f t="shared" si="10"/>
        <v>73.999999999999972</v>
      </c>
      <c r="AG25" s="18">
        <v>0</v>
      </c>
      <c r="AH25" s="19">
        <f t="shared" si="11"/>
        <v>30</v>
      </c>
      <c r="AI25" s="19">
        <v>145</v>
      </c>
      <c r="AJ25" s="19">
        <f t="shared" si="12"/>
        <v>174.99999999999997</v>
      </c>
      <c r="AK25" s="20">
        <f t="shared" si="18"/>
        <v>11</v>
      </c>
      <c r="AL25" s="19">
        <f t="shared" si="24"/>
        <v>11</v>
      </c>
      <c r="AM25" s="19">
        <f t="shared" si="14"/>
        <v>40</v>
      </c>
      <c r="AN25" s="19">
        <f t="shared" si="15"/>
        <v>40</v>
      </c>
      <c r="AO25" s="19">
        <f t="shared" si="16"/>
        <v>112</v>
      </c>
      <c r="AP25" s="19">
        <f t="shared" si="19"/>
        <v>75</v>
      </c>
      <c r="AQ25" s="19">
        <f t="shared" si="17"/>
        <v>113</v>
      </c>
      <c r="AR25" s="19">
        <f t="shared" si="20"/>
        <v>248.99999999999997</v>
      </c>
      <c r="AS25" s="47">
        <f t="shared" si="21"/>
        <v>-59.345500000000001</v>
      </c>
    </row>
    <row r="26" spans="1:45">
      <c r="A26" s="30">
        <f t="shared" si="0"/>
        <v>45833</v>
      </c>
      <c r="B26" s="31">
        <v>45833</v>
      </c>
      <c r="C26" s="32" t="s">
        <v>158</v>
      </c>
      <c r="D26" s="33">
        <v>4.5138888888888888E-2</v>
      </c>
      <c r="E26" s="35">
        <f t="shared" si="1"/>
        <v>6.5972222222222224E-2</v>
      </c>
      <c r="F26" s="34">
        <v>30</v>
      </c>
      <c r="G26" s="33">
        <v>0.16666666666666666</v>
      </c>
      <c r="H26" s="36">
        <f t="shared" si="2"/>
        <v>144.99999999999997</v>
      </c>
      <c r="I26" s="37">
        <f t="shared" si="3"/>
        <v>0.12083333333333332</v>
      </c>
      <c r="J26" s="4">
        <v>5</v>
      </c>
      <c r="K26" s="7"/>
      <c r="L26" s="39">
        <v>5.7638888888888885E-2</v>
      </c>
      <c r="M26" s="39">
        <v>7.2916666666666671E-2</v>
      </c>
      <c r="N26" s="39">
        <v>0.1173611111111111</v>
      </c>
      <c r="O26" s="39">
        <v>0.11875000000000001</v>
      </c>
      <c r="P26" s="91">
        <v>0.32318999999999998</v>
      </c>
      <c r="Q26" t="s">
        <v>45</v>
      </c>
      <c r="R26" t="s">
        <v>45</v>
      </c>
      <c r="S26" t="s">
        <v>45</v>
      </c>
      <c r="T26" t="s">
        <v>45</v>
      </c>
      <c r="U26" s="7"/>
      <c r="V26" s="13">
        <f t="shared" si="22"/>
        <v>22.000000000000011</v>
      </c>
      <c r="W26" s="13">
        <f t="shared" si="22"/>
        <v>63.999999999999972</v>
      </c>
      <c r="X26" s="40">
        <f t="shared" si="23"/>
        <v>17.999999999999996</v>
      </c>
      <c r="Y26" s="4">
        <f t="shared" si="23"/>
        <v>10.000000000000004</v>
      </c>
      <c r="Z26" s="4">
        <f t="shared" si="6"/>
        <v>-71.000000000000014</v>
      </c>
      <c r="AA26" s="4">
        <f t="shared" si="7"/>
        <v>-63</v>
      </c>
      <c r="AB26" s="4">
        <f t="shared" si="8"/>
        <v>-68.999999999999972</v>
      </c>
      <c r="AC26" s="13">
        <f t="shared" si="9"/>
        <v>2</v>
      </c>
      <c r="AD26" s="15">
        <f t="shared" si="10"/>
        <v>89.000000000000014</v>
      </c>
      <c r="AG26" s="18">
        <v>0</v>
      </c>
      <c r="AH26" s="19">
        <f t="shared" si="11"/>
        <v>30</v>
      </c>
      <c r="AI26" s="19">
        <v>145</v>
      </c>
      <c r="AJ26" s="19">
        <f t="shared" si="12"/>
        <v>174.99999999999997</v>
      </c>
      <c r="AK26" s="20">
        <f t="shared" si="18"/>
        <v>17.999999999999996</v>
      </c>
      <c r="AL26" s="19">
        <f t="shared" si="24"/>
        <v>17.999999999999996</v>
      </c>
      <c r="AM26" s="19">
        <f t="shared" si="14"/>
        <v>40</v>
      </c>
      <c r="AN26" s="19">
        <f t="shared" si="15"/>
        <v>40</v>
      </c>
      <c r="AO26" s="19">
        <f t="shared" si="16"/>
        <v>103.99999999999997</v>
      </c>
      <c r="AP26" s="19">
        <f t="shared" si="19"/>
        <v>70.999999999999986</v>
      </c>
      <c r="AQ26" s="19">
        <f t="shared" si="17"/>
        <v>105.99999999999997</v>
      </c>
      <c r="AR26" s="19">
        <f t="shared" si="20"/>
        <v>264</v>
      </c>
      <c r="AS26" s="47">
        <f t="shared" si="21"/>
        <v>-58.840500000000006</v>
      </c>
    </row>
    <row r="27" spans="1:45">
      <c r="A27" s="30">
        <f t="shared" si="0"/>
        <v>45834</v>
      </c>
      <c r="B27" s="31">
        <v>45834</v>
      </c>
      <c r="C27" s="32" t="s">
        <v>158</v>
      </c>
      <c r="D27" s="33">
        <v>4.5138888888888888E-2</v>
      </c>
      <c r="E27" s="35">
        <f t="shared" si="1"/>
        <v>6.5972222222222224E-2</v>
      </c>
      <c r="F27" s="34">
        <v>30</v>
      </c>
      <c r="G27" s="33">
        <v>0.16666666666666666</v>
      </c>
      <c r="H27" s="36">
        <f t="shared" si="2"/>
        <v>144.99999999999997</v>
      </c>
      <c r="I27" s="37">
        <f t="shared" si="3"/>
        <v>0.12430555555555556</v>
      </c>
      <c r="J27" s="4">
        <v>5</v>
      </c>
      <c r="K27" s="7"/>
      <c r="L27" s="39">
        <v>6.3194444444444442E-2</v>
      </c>
      <c r="M27" s="39">
        <v>7.7777777777777779E-2</v>
      </c>
      <c r="N27" s="39">
        <v>0.12083333333333333</v>
      </c>
      <c r="O27" s="39">
        <v>0.12152777777777778</v>
      </c>
      <c r="P27" s="91">
        <v>0.31879000000000002</v>
      </c>
      <c r="Q27" t="s">
        <v>45</v>
      </c>
      <c r="R27" t="s">
        <v>44</v>
      </c>
      <c r="S27" t="s">
        <v>45</v>
      </c>
      <c r="T27" t="s">
        <v>45</v>
      </c>
      <c r="U27" s="7"/>
      <c r="V27" s="13">
        <f t="shared" si="22"/>
        <v>21.000000000000007</v>
      </c>
      <c r="W27" s="13">
        <f t="shared" si="22"/>
        <v>62</v>
      </c>
      <c r="X27" s="40">
        <f t="shared" si="23"/>
        <v>25.999999999999996</v>
      </c>
      <c r="Y27" s="4">
        <f t="shared" si="23"/>
        <v>17</v>
      </c>
      <c r="Z27" s="4">
        <f t="shared" si="6"/>
        <v>-65.999999999999986</v>
      </c>
      <c r="AA27" s="4">
        <f t="shared" si="7"/>
        <v>-56.999999999999972</v>
      </c>
      <c r="AB27" s="4">
        <f t="shared" si="8"/>
        <v>-64.999999999999986</v>
      </c>
      <c r="AC27" s="13">
        <f t="shared" si="9"/>
        <v>1</v>
      </c>
      <c r="AD27" s="15">
        <f t="shared" si="10"/>
        <v>91.999999999999986</v>
      </c>
      <c r="AG27" s="18">
        <v>0</v>
      </c>
      <c r="AH27" s="19">
        <f t="shared" si="11"/>
        <v>30</v>
      </c>
      <c r="AI27" s="19">
        <v>145</v>
      </c>
      <c r="AJ27" s="19">
        <f t="shared" si="12"/>
        <v>174.99999999999997</v>
      </c>
      <c r="AK27" s="20">
        <f t="shared" si="18"/>
        <v>25.999999999999996</v>
      </c>
      <c r="AL27" s="19">
        <f t="shared" si="24"/>
        <v>25.999999999999996</v>
      </c>
      <c r="AM27" s="19">
        <f t="shared" si="14"/>
        <v>47</v>
      </c>
      <c r="AN27" s="19">
        <f t="shared" si="15"/>
        <v>47</v>
      </c>
      <c r="AO27" s="19">
        <f t="shared" si="16"/>
        <v>109</v>
      </c>
      <c r="AP27" s="19">
        <f t="shared" si="19"/>
        <v>73.5</v>
      </c>
      <c r="AQ27" s="19">
        <f t="shared" si="17"/>
        <v>110</v>
      </c>
      <c r="AR27" s="19">
        <f t="shared" si="20"/>
        <v>267</v>
      </c>
      <c r="AS27" s="47">
        <f t="shared" si="21"/>
        <v>-59.060499999999998</v>
      </c>
    </row>
    <row r="28" spans="1:45">
      <c r="A28" s="30">
        <f t="shared" si="0"/>
        <v>45835</v>
      </c>
      <c r="B28" s="31">
        <v>45835</v>
      </c>
      <c r="C28" s="32" t="s">
        <v>158</v>
      </c>
      <c r="D28" s="33">
        <v>4.5138888888888888E-2</v>
      </c>
      <c r="E28" s="35">
        <f t="shared" si="1"/>
        <v>6.5972222222222224E-2</v>
      </c>
      <c r="F28" s="34">
        <v>30</v>
      </c>
      <c r="G28" s="33">
        <v>0.16666666666666666</v>
      </c>
      <c r="H28" s="36">
        <f t="shared" si="2"/>
        <v>144.99999999999997</v>
      </c>
      <c r="I28" s="37">
        <f t="shared" si="3"/>
        <v>0.11458333333333333</v>
      </c>
      <c r="J28" s="4">
        <v>5</v>
      </c>
      <c r="K28" s="7"/>
      <c r="L28" s="39">
        <v>4.3055555555555562E-2</v>
      </c>
      <c r="M28" s="39">
        <v>6.5972222222222224E-2</v>
      </c>
      <c r="N28" s="39">
        <v>0.1111111111111111</v>
      </c>
      <c r="O28" s="39">
        <v>0.11319444444444444</v>
      </c>
      <c r="P28" s="91">
        <v>0.31785999999999998</v>
      </c>
      <c r="Q28" t="s">
        <v>45</v>
      </c>
      <c r="R28" t="s">
        <v>45</v>
      </c>
      <c r="S28" t="s">
        <v>45</v>
      </c>
      <c r="T28" t="s">
        <v>45</v>
      </c>
      <c r="U28" s="7"/>
      <c r="V28" s="13">
        <f t="shared" si="22"/>
        <v>32.999999999999993</v>
      </c>
      <c r="W28" s="13">
        <f t="shared" si="22"/>
        <v>64.999999999999986</v>
      </c>
      <c r="X28" s="40">
        <f t="shared" si="23"/>
        <v>-2.9999999999999893</v>
      </c>
      <c r="Y28" s="4">
        <f t="shared" si="23"/>
        <v>0</v>
      </c>
      <c r="Z28" s="4">
        <f t="shared" si="6"/>
        <v>-80</v>
      </c>
      <c r="AA28" s="4">
        <f t="shared" si="7"/>
        <v>-82.999999999999986</v>
      </c>
      <c r="AB28" s="4">
        <f t="shared" si="8"/>
        <v>-76.999999999999986</v>
      </c>
      <c r="AC28" s="13">
        <f t="shared" si="9"/>
        <v>3</v>
      </c>
      <c r="AD28" s="15">
        <f t="shared" si="10"/>
        <v>77.000000000000014</v>
      </c>
      <c r="AG28" s="18">
        <v>0</v>
      </c>
      <c r="AH28" s="19">
        <f t="shared" si="11"/>
        <v>30</v>
      </c>
      <c r="AI28" s="19">
        <v>145</v>
      </c>
      <c r="AJ28" s="19">
        <f t="shared" si="12"/>
        <v>174.99999999999997</v>
      </c>
      <c r="AK28" s="20">
        <f t="shared" si="18"/>
        <v>-2.9999999999999893</v>
      </c>
      <c r="AL28" s="19">
        <f t="shared" si="24"/>
        <v>-2.9999999999999893</v>
      </c>
      <c r="AM28" s="19">
        <f t="shared" si="14"/>
        <v>30</v>
      </c>
      <c r="AN28" s="19">
        <f t="shared" si="15"/>
        <v>30</v>
      </c>
      <c r="AO28" s="19">
        <f t="shared" si="16"/>
        <v>94.999999999999986</v>
      </c>
      <c r="AP28" s="19">
        <f t="shared" si="19"/>
        <v>66.5</v>
      </c>
      <c r="AQ28" s="19">
        <f t="shared" si="17"/>
        <v>97.999999999999986</v>
      </c>
      <c r="AR28" s="19">
        <f t="shared" si="20"/>
        <v>252</v>
      </c>
      <c r="AS28" s="47">
        <f t="shared" si="21"/>
        <v>-59.106999999999999</v>
      </c>
    </row>
    <row r="29" spans="1:45">
      <c r="A29" s="30">
        <f t="shared" si="0"/>
        <v>45836</v>
      </c>
      <c r="B29" s="31">
        <v>45836</v>
      </c>
      <c r="C29" s="32" t="s">
        <v>158</v>
      </c>
      <c r="D29" s="33">
        <v>4.5138888888888888E-2</v>
      </c>
      <c r="E29" s="35">
        <f t="shared" si="1"/>
        <v>6.5972222222222224E-2</v>
      </c>
      <c r="F29" s="34">
        <v>30</v>
      </c>
      <c r="G29" s="33">
        <v>0.16666666666666666</v>
      </c>
      <c r="H29" s="36">
        <f t="shared" si="2"/>
        <v>144.99999999999997</v>
      </c>
      <c r="I29" s="37">
        <f t="shared" si="3"/>
        <v>0.12847222222222221</v>
      </c>
      <c r="J29" s="4">
        <v>5</v>
      </c>
      <c r="K29" s="7"/>
      <c r="L29" s="39">
        <v>6.3194444444444442E-2</v>
      </c>
      <c r="M29" s="39">
        <v>7.9861111111111105E-2</v>
      </c>
      <c r="N29" s="39">
        <v>0.125</v>
      </c>
      <c r="O29" s="39">
        <v>0.12986111111111112</v>
      </c>
      <c r="P29" s="91">
        <v>0.32127</v>
      </c>
      <c r="Q29" t="s">
        <v>45</v>
      </c>
      <c r="R29" t="s">
        <v>44</v>
      </c>
      <c r="S29" t="s">
        <v>45</v>
      </c>
      <c r="T29" t="s">
        <v>45</v>
      </c>
      <c r="U29" s="7"/>
      <c r="V29" s="13">
        <f t="shared" si="22"/>
        <v>23.999999999999993</v>
      </c>
      <c r="W29" s="13">
        <f t="shared" si="22"/>
        <v>65.000000000000014</v>
      </c>
      <c r="X29" s="40">
        <f t="shared" si="23"/>
        <v>25.999999999999996</v>
      </c>
      <c r="Y29" s="4">
        <f t="shared" si="23"/>
        <v>19.999999999999989</v>
      </c>
      <c r="Z29" s="4">
        <f t="shared" si="6"/>
        <v>-59.999999999999986</v>
      </c>
      <c r="AA29" s="4">
        <f t="shared" si="7"/>
        <v>-53.999999999999957</v>
      </c>
      <c r="AB29" s="4">
        <f t="shared" si="8"/>
        <v>-52.999999999999972</v>
      </c>
      <c r="AC29" s="13">
        <f t="shared" si="9"/>
        <v>7</v>
      </c>
      <c r="AD29" s="15">
        <f t="shared" si="10"/>
        <v>85.999999999999986</v>
      </c>
      <c r="AG29" s="18">
        <v>0</v>
      </c>
      <c r="AH29" s="19">
        <f t="shared" si="11"/>
        <v>30</v>
      </c>
      <c r="AI29" s="19">
        <v>145</v>
      </c>
      <c r="AJ29" s="19">
        <f t="shared" si="12"/>
        <v>174.99999999999997</v>
      </c>
      <c r="AK29" s="20">
        <f t="shared" si="18"/>
        <v>25.999999999999996</v>
      </c>
      <c r="AL29" s="19">
        <f t="shared" si="24"/>
        <v>25.999999999999996</v>
      </c>
      <c r="AM29" s="19">
        <f t="shared" si="14"/>
        <v>49.999999999999986</v>
      </c>
      <c r="AN29" s="19">
        <f t="shared" si="15"/>
        <v>49.999999999999986</v>
      </c>
      <c r="AO29" s="19">
        <f t="shared" si="16"/>
        <v>115</v>
      </c>
      <c r="AP29" s="19">
        <f t="shared" si="19"/>
        <v>76.5</v>
      </c>
      <c r="AQ29" s="19">
        <f t="shared" si="17"/>
        <v>122</v>
      </c>
      <c r="AR29" s="19">
        <f t="shared" si="20"/>
        <v>261</v>
      </c>
      <c r="AS29" s="47">
        <f t="shared" si="21"/>
        <v>-58.936499999999995</v>
      </c>
    </row>
    <row r="30" spans="1:45">
      <c r="A30" s="30">
        <f t="shared" si="0"/>
        <v>45837</v>
      </c>
      <c r="B30" s="31">
        <v>45837</v>
      </c>
      <c r="C30" s="32" t="s">
        <v>158</v>
      </c>
      <c r="D30" s="93">
        <v>4.5138888888888902E-2</v>
      </c>
      <c r="E30" s="35">
        <f t="shared" si="1"/>
        <v>6.5972222222222238E-2</v>
      </c>
      <c r="F30" s="34">
        <v>30</v>
      </c>
      <c r="G30" s="33">
        <v>0.16666666666666666</v>
      </c>
      <c r="H30" s="36">
        <f t="shared" si="2"/>
        <v>144.99999999999997</v>
      </c>
      <c r="I30" s="37">
        <f t="shared" si="3"/>
        <v>0.13194444444444445</v>
      </c>
      <c r="J30" s="4">
        <v>5</v>
      </c>
      <c r="K30" s="7"/>
      <c r="L30" s="39">
        <v>6.3888888888888884E-2</v>
      </c>
      <c r="M30" s="39">
        <v>7.9166666666666663E-2</v>
      </c>
      <c r="N30" s="39">
        <v>0.12847222222222224</v>
      </c>
      <c r="O30" s="39">
        <v>0.12986111111111112</v>
      </c>
      <c r="P30" s="91">
        <v>0.37215999999999999</v>
      </c>
      <c r="Q30" t="s">
        <v>45</v>
      </c>
      <c r="R30" t="s">
        <v>44</v>
      </c>
      <c r="S30" t="s">
        <v>45</v>
      </c>
      <c r="T30" t="s">
        <v>45</v>
      </c>
      <c r="U30" s="7"/>
      <c r="V30" s="13">
        <f t="shared" si="22"/>
        <v>22</v>
      </c>
      <c r="W30" s="13">
        <f t="shared" si="22"/>
        <v>71.000000000000028</v>
      </c>
      <c r="X30" s="40">
        <f t="shared" si="23"/>
        <v>26.999999999999975</v>
      </c>
      <c r="Y30" s="4">
        <f t="shared" si="23"/>
        <v>18.999999999999972</v>
      </c>
      <c r="Z30" s="4">
        <f t="shared" si="6"/>
        <v>-54.999999999999964</v>
      </c>
      <c r="AA30" s="4">
        <f t="shared" si="7"/>
        <v>-46.999999999999972</v>
      </c>
      <c r="AB30" s="4">
        <f t="shared" si="8"/>
        <v>-52.999999999999972</v>
      </c>
      <c r="AC30" s="13">
        <f t="shared" si="9"/>
        <v>2</v>
      </c>
      <c r="AD30" s="15">
        <f t="shared" si="10"/>
        <v>81.999999999999943</v>
      </c>
      <c r="AG30" s="18">
        <v>0</v>
      </c>
      <c r="AH30" s="19">
        <f t="shared" si="11"/>
        <v>30</v>
      </c>
      <c r="AI30" s="19">
        <v>145</v>
      </c>
      <c r="AJ30" s="19">
        <f t="shared" si="12"/>
        <v>174.99999999999997</v>
      </c>
      <c r="AK30" s="20">
        <f t="shared" si="18"/>
        <v>26.999999999999975</v>
      </c>
      <c r="AL30" s="19">
        <f t="shared" si="24"/>
        <v>26.999999999999975</v>
      </c>
      <c r="AM30" s="19">
        <f t="shared" si="14"/>
        <v>48.999999999999972</v>
      </c>
      <c r="AN30" s="19">
        <f t="shared" si="15"/>
        <v>48.999999999999972</v>
      </c>
      <c r="AO30" s="19">
        <f t="shared" si="16"/>
        <v>120</v>
      </c>
      <c r="AP30" s="19">
        <f t="shared" si="19"/>
        <v>79</v>
      </c>
      <c r="AQ30" s="19">
        <f t="shared" si="17"/>
        <v>122</v>
      </c>
      <c r="AR30" s="19">
        <f t="shared" si="20"/>
        <v>256.99999999999994</v>
      </c>
      <c r="AS30" s="47">
        <f t="shared" si="21"/>
        <v>-56.391999999999996</v>
      </c>
    </row>
    <row r="31" spans="1:45">
      <c r="A31" s="30">
        <f t="shared" si="0"/>
        <v>45838</v>
      </c>
      <c r="B31" s="31">
        <v>45838</v>
      </c>
      <c r="C31" s="32" t="s">
        <v>158</v>
      </c>
      <c r="D31" s="33">
        <v>4.5138888888888902E-2</v>
      </c>
      <c r="E31" s="35">
        <f t="shared" si="1"/>
        <v>6.5972222222222238E-2</v>
      </c>
      <c r="F31" s="34">
        <v>30</v>
      </c>
      <c r="G31" s="33">
        <v>0.16666666666666666</v>
      </c>
      <c r="H31" s="36">
        <f t="shared" si="2"/>
        <v>144.99999999999997</v>
      </c>
      <c r="I31" s="37">
        <f t="shared" si="3"/>
        <v>0.12847222222222221</v>
      </c>
      <c r="J31" s="4">
        <v>5</v>
      </c>
      <c r="K31" s="7"/>
      <c r="L31" s="39">
        <v>7.013888888888889E-2</v>
      </c>
      <c r="M31" s="39">
        <v>8.1944444444444445E-2</v>
      </c>
      <c r="N31" s="39">
        <v>0.125</v>
      </c>
      <c r="O31" s="39">
        <v>0.12569444444444444</v>
      </c>
      <c r="P31" s="91">
        <v>0.31970999999999999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22"/>
        <v>17</v>
      </c>
      <c r="W31" s="13">
        <f t="shared" si="22"/>
        <v>62</v>
      </c>
      <c r="X31" s="40">
        <f t="shared" si="23"/>
        <v>35.999999999999979</v>
      </c>
      <c r="Y31" s="4">
        <f t="shared" si="23"/>
        <v>22.999999999999979</v>
      </c>
      <c r="Z31" s="4">
        <f t="shared" si="6"/>
        <v>-59.999999999999986</v>
      </c>
      <c r="AA31" s="4">
        <f t="shared" si="7"/>
        <v>-47</v>
      </c>
      <c r="AB31" s="4">
        <f t="shared" si="8"/>
        <v>-58.999999999999993</v>
      </c>
      <c r="AC31" s="13">
        <f t="shared" si="9"/>
        <v>1</v>
      </c>
      <c r="AD31" s="15">
        <f t="shared" si="10"/>
        <v>95.999999999999972</v>
      </c>
      <c r="AG31" s="18">
        <v>0</v>
      </c>
      <c r="AH31" s="19">
        <f t="shared" si="11"/>
        <v>30</v>
      </c>
      <c r="AI31" s="19">
        <v>145</v>
      </c>
      <c r="AJ31" s="19">
        <f t="shared" si="12"/>
        <v>174.99999999999997</v>
      </c>
      <c r="AK31" s="20">
        <f t="shared" si="18"/>
        <v>35.999999999999979</v>
      </c>
      <c r="AL31" s="19">
        <f t="shared" si="24"/>
        <v>35.999999999999979</v>
      </c>
      <c r="AM31" s="19">
        <f t="shared" si="14"/>
        <v>52.999999999999979</v>
      </c>
      <c r="AN31" s="19">
        <f t="shared" si="15"/>
        <v>52.999999999999979</v>
      </c>
      <c r="AO31" s="19">
        <f t="shared" si="16"/>
        <v>114.99999999999997</v>
      </c>
      <c r="AP31" s="19">
        <f t="shared" si="19"/>
        <v>76.499999999999986</v>
      </c>
      <c r="AQ31" s="19">
        <f t="shared" si="17"/>
        <v>115.99999999999997</v>
      </c>
      <c r="AR31" s="19">
        <f t="shared" si="20"/>
        <v>271</v>
      </c>
      <c r="AS31" s="47">
        <f t="shared" si="21"/>
        <v>-59.014499999999998</v>
      </c>
    </row>
    <row r="32" spans="1:45">
      <c r="A32" s="30"/>
      <c r="B32" s="31"/>
      <c r="C32" s="32"/>
      <c r="D32" s="33"/>
      <c r="E32" s="35"/>
      <c r="F32" s="34"/>
      <c r="G32" s="33"/>
      <c r="H32" s="36"/>
      <c r="I32" s="37"/>
      <c r="J32" s="4"/>
      <c r="L32" s="39"/>
      <c r="M32" s="39"/>
      <c r="N32" s="39"/>
      <c r="O32" s="39"/>
      <c r="P32" s="47"/>
      <c r="V32" s="13"/>
      <c r="W32" s="13"/>
      <c r="X32" s="40"/>
      <c r="Y32" s="4"/>
      <c r="Z32" s="4"/>
      <c r="AA32" s="4"/>
      <c r="AB32" s="4"/>
      <c r="AC32" s="13"/>
      <c r="AD32" s="15"/>
      <c r="AG32" s="18"/>
      <c r="AH32" s="19"/>
      <c r="AI32" s="19"/>
      <c r="AJ32" s="19"/>
      <c r="AK32" s="20"/>
      <c r="AL32" s="19"/>
      <c r="AM32" s="19"/>
      <c r="AN32" s="19"/>
      <c r="AO32" s="19"/>
      <c r="AP32" s="19"/>
      <c r="AQ32" s="19"/>
      <c r="AR32" s="19"/>
      <c r="AS32" s="47"/>
    </row>
    <row r="33" spans="4:44">
      <c r="L33" s="5">
        <f>AVERAGE(L2:L32)</f>
        <v>5.6465517241379319E-2</v>
      </c>
      <c r="M33" s="5">
        <f>AVERAGE(M2:M32)</f>
        <v>7.3946360153256702E-2</v>
      </c>
      <c r="N33" s="5">
        <f>AVERAGE(N2:N32)</f>
        <v>0.11925287356321838</v>
      </c>
      <c r="O33" s="38">
        <f>AVERAGE(O2:O32)</f>
        <v>0.12068965517241378</v>
      </c>
      <c r="P33" s="48">
        <f>AVERAGE(P2:P32)</f>
        <v>0.32722793103448272</v>
      </c>
      <c r="Q33" s="48"/>
      <c r="R33" s="48"/>
      <c r="S33" s="48"/>
      <c r="T33" s="48"/>
      <c r="V33" s="16">
        <f>AVERAGE(V2:V32)</f>
        <v>25.172413793103448</v>
      </c>
      <c r="W33" s="14">
        <f>AVERAGE(W2:W31)</f>
        <v>65.241379310344826</v>
      </c>
      <c r="X33" s="16">
        <f>AVERAGE(X2:X31)</f>
        <v>16.31034482758621</v>
      </c>
      <c r="AD33" s="14">
        <f>AVERAGE(AD2:AD31)</f>
        <v>84.58620689655173</v>
      </c>
    </row>
    <row r="34" spans="4:44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</row>
    <row r="36" spans="4:44">
      <c r="D36" s="2"/>
    </row>
    <row r="37" spans="4:44">
      <c r="D37" s="2"/>
    </row>
    <row r="38" spans="4:44">
      <c r="D38" s="2"/>
    </row>
    <row r="39" spans="4:44">
      <c r="D39" s="2"/>
    </row>
    <row r="40" spans="4:44">
      <c r="D40" s="2"/>
    </row>
    <row r="41" spans="4:44">
      <c r="D41" s="2"/>
    </row>
    <row r="42" spans="4:44">
      <c r="D42" s="2"/>
    </row>
    <row r="43" spans="4:44">
      <c r="D43" s="2"/>
    </row>
    <row r="44" spans="4:44">
      <c r="D44" s="2"/>
    </row>
    <row r="45" spans="4:44">
      <c r="D45" s="2"/>
    </row>
    <row r="46" spans="4:44">
      <c r="D46" s="2"/>
    </row>
    <row r="47" spans="4:44">
      <c r="D47" s="2"/>
    </row>
    <row r="48" spans="4:44">
      <c r="D48" s="2"/>
    </row>
  </sheetData>
  <autoFilter ref="B1:Z1" xr:uid="{00000000-0001-0000-0000-000000000000}"/>
  <mergeCells count="1">
    <mergeCell ref="AG34:AR34"/>
  </mergeCells>
  <conditionalFormatting sqref="V2:V32">
    <cfRule type="cellIs" dxfId="40" priority="6" operator="greaterThan">
      <formula>$F$2</formula>
    </cfRule>
    <cfRule type="cellIs" dxfId="39" priority="7" operator="lessThanOrEqual">
      <formula>$F$2</formula>
    </cfRule>
  </conditionalFormatting>
  <conditionalFormatting sqref="V33">
    <cfRule type="cellIs" dxfId="38" priority="1" operator="lessThanOrEqual">
      <formula>0</formula>
    </cfRule>
  </conditionalFormatting>
  <conditionalFormatting sqref="W2:W32">
    <cfRule type="cellIs" dxfId="37" priority="4" operator="greaterThan">
      <formula>$H$2</formula>
    </cfRule>
    <cfRule type="cellIs" dxfId="36" priority="5" operator="lessThanOrEqual">
      <formula>$H$2</formula>
    </cfRule>
  </conditionalFormatting>
  <conditionalFormatting sqref="AC2:AC32">
    <cfRule type="cellIs" dxfId="35" priority="2" operator="greaterThan">
      <formula>5</formula>
    </cfRule>
  </conditionalFormatting>
  <conditionalFormatting sqref="AD2:AD32 P2:T33">
    <cfRule type="cellIs" dxfId="34" priority="3" operator="lessThanOrEqual">
      <formula>0</formula>
    </cfRule>
  </conditionalFormatting>
  <dataValidations count="1">
    <dataValidation type="time" allowBlank="1" showInputMessage="1" showErrorMessage="1" sqref="L2:L32 N2:O32" xr:uid="{DFB3F553-9DEB-4683-99CD-C35704187A23}">
      <formula1>0</formula1>
      <formula2>0.999305555555556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E1C3-E4A2-429C-BA0B-6443F63262B2}">
  <dimension ref="A1:AV48"/>
  <sheetViews>
    <sheetView showGridLines="0" topLeftCell="B13" workbookViewId="0">
      <pane xSplit="1" topLeftCell="R1" activePane="topRight" state="frozen"/>
      <selection activeCell="B1" sqref="B1"/>
      <selection pane="topRigh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16" width="13.1796875" bestFit="1" customWidth="1"/>
    <col min="17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41</v>
      </c>
      <c r="AV1" s="44" t="s">
        <v>42</v>
      </c>
    </row>
    <row r="2" spans="1:48">
      <c r="A2" s="30">
        <f t="shared" ref="A2:A32" si="0">B2</f>
        <v>45778</v>
      </c>
      <c r="B2" s="31">
        <v>45778</v>
      </c>
      <c r="C2" s="32" t="s">
        <v>159</v>
      </c>
      <c r="D2" s="33">
        <v>2.0833333333333332E-2</v>
      </c>
      <c r="E2" s="35">
        <f>(D2+(TIME(0,F2,0)))</f>
        <v>4.1666666666666664E-2</v>
      </c>
      <c r="F2" s="34">
        <v>30</v>
      </c>
      <c r="G2" s="33">
        <v>0.125</v>
      </c>
      <c r="H2" s="36">
        <f>((G2-D2)*1440)-F2</f>
        <v>120</v>
      </c>
      <c r="I2" s="37">
        <f>(N2+(TIME(0,J2,0)))</f>
        <v>0.12777777777777777</v>
      </c>
      <c r="J2" s="4">
        <v>5</v>
      </c>
      <c r="K2" s="7"/>
      <c r="L2" s="2">
        <v>4.027777777777778E-2</v>
      </c>
      <c r="M2" s="2">
        <v>6.5972222222222224E-2</v>
      </c>
      <c r="N2" s="83">
        <v>0.12430555555555556</v>
      </c>
      <c r="O2" s="45">
        <v>0.12777777777777777</v>
      </c>
      <c r="P2" s="47">
        <v>0.58287999999999995</v>
      </c>
      <c r="Q2" t="s">
        <v>44</v>
      </c>
      <c r="R2" t="s">
        <v>45</v>
      </c>
      <c r="S2" t="s">
        <v>45</v>
      </c>
      <c r="T2" t="s">
        <v>45</v>
      </c>
      <c r="U2" s="7"/>
      <c r="V2" s="13">
        <f>((M2-L2)*1440)</f>
        <v>37</v>
      </c>
      <c r="W2" s="94">
        <f>((N2-M2)*1440)</f>
        <v>84</v>
      </c>
      <c r="X2" s="40">
        <f>((L2-D2)*1440)</f>
        <v>28.000000000000007</v>
      </c>
      <c r="Y2" s="4">
        <f>((M2-E2)*1440)</f>
        <v>35.000000000000007</v>
      </c>
      <c r="Z2" s="4">
        <f t="shared" ref="Z2:Z32" si="1">((N2-G2)*1440)</f>
        <v>-0.99999999999999645</v>
      </c>
      <c r="AA2" s="4">
        <f t="shared" ref="AA2:AA32" si="2">W2-(H2-X2)</f>
        <v>-8</v>
      </c>
      <c r="AB2" s="4">
        <f t="shared" ref="AB2:AB32" si="3">((O2-G2)*1440)</f>
        <v>3.9999999999999858</v>
      </c>
      <c r="AC2" s="13">
        <f t="shared" ref="AC2:AC32" si="4">ROUND((O2-N2)*1440,0)</f>
        <v>5</v>
      </c>
      <c r="AD2" s="15">
        <f t="shared" ref="AD2:AD32" si="5">(Z2*-1)+X2</f>
        <v>29.000000000000004</v>
      </c>
      <c r="AG2" s="18">
        <v>0</v>
      </c>
      <c r="AH2" s="19">
        <f t="shared" ref="AH2:AH32" si="6">AG2+F2</f>
        <v>30</v>
      </c>
      <c r="AI2" s="19">
        <f t="shared" ref="AI2:AI32" si="7">AG2+H2+AH2</f>
        <v>150</v>
      </c>
      <c r="AJ2" s="20">
        <f>AG2+X2-10</f>
        <v>18.000000000000007</v>
      </c>
      <c r="AK2" s="19">
        <f>AJ2</f>
        <v>18.000000000000007</v>
      </c>
      <c r="AL2" s="19">
        <f>AM2</f>
        <v>65</v>
      </c>
      <c r="AM2" s="19">
        <f>AH2+Y2</f>
        <v>65</v>
      </c>
      <c r="AN2" s="19">
        <f t="shared" ref="AN2:AN15" si="8">AM2+W2</f>
        <v>149</v>
      </c>
      <c r="AO2" s="19">
        <f>(AN2/2)+50</f>
        <v>124.5</v>
      </c>
      <c r="AP2" s="19">
        <f>AN2+AC2</f>
        <v>154</v>
      </c>
      <c r="AQ2" s="19">
        <f>AD2+250</f>
        <v>279</v>
      </c>
      <c r="AR2" s="47">
        <f>(P2*50)-100</f>
        <v>-70.855999999999995</v>
      </c>
      <c r="AS2">
        <f t="shared" ref="AS2:AS31" si="9">IF(Q2="Yes",-225,0)</f>
        <v>-225</v>
      </c>
      <c r="AU2">
        <f>IF(S2="Yes",-195,0)</f>
        <v>0</v>
      </c>
    </row>
    <row r="3" spans="1:48">
      <c r="A3" s="30">
        <f t="shared" si="0"/>
        <v>45779</v>
      </c>
      <c r="B3" s="31">
        <v>45779</v>
      </c>
      <c r="C3" s="32" t="s">
        <v>159</v>
      </c>
      <c r="D3" s="33">
        <v>2.0833333333333332E-2</v>
      </c>
      <c r="E3" s="35">
        <f t="shared" ref="E3:E32" si="10">(D3+(TIME(0,F3,0)))</f>
        <v>4.1666666666666664E-2</v>
      </c>
      <c r="F3" s="34">
        <v>30</v>
      </c>
      <c r="G3" s="33">
        <v>0.125</v>
      </c>
      <c r="H3" s="36">
        <f t="shared" ref="H3:H32" si="11">((G3-D3)*1440)-F3</f>
        <v>120</v>
      </c>
      <c r="I3" s="37">
        <f t="shared" ref="I3:I32" si="12">(N3+(TIME(0,J3,0)))</f>
        <v>9.4444444444444442E-2</v>
      </c>
      <c r="J3" s="4">
        <v>5</v>
      </c>
      <c r="K3" s="7"/>
      <c r="L3" s="2">
        <v>3.4027777777777775E-2</v>
      </c>
      <c r="M3" s="2">
        <v>4.583333333333333E-2</v>
      </c>
      <c r="N3" s="83">
        <v>9.0972222222222218E-2</v>
      </c>
      <c r="O3" s="45">
        <v>9.375E-2</v>
      </c>
      <c r="P3" s="47">
        <v>0.56266000000000005</v>
      </c>
      <c r="Q3" t="s">
        <v>45</v>
      </c>
      <c r="R3" t="s">
        <v>45</v>
      </c>
      <c r="S3" t="s">
        <v>45</v>
      </c>
      <c r="T3" t="s">
        <v>45</v>
      </c>
      <c r="U3" s="7"/>
      <c r="V3" s="13">
        <f t="shared" ref="V3:W32" si="13">((M3-L3)*1440)</f>
        <v>17</v>
      </c>
      <c r="W3" s="95">
        <f t="shared" si="13"/>
        <v>65</v>
      </c>
      <c r="X3" s="40">
        <f t="shared" ref="X3:Y32" si="14">((L3-D3)*1440)</f>
        <v>18.999999999999996</v>
      </c>
      <c r="Y3" s="4">
        <f t="shared" si="14"/>
        <v>5.9999999999999982</v>
      </c>
      <c r="Z3" s="4">
        <f t="shared" si="1"/>
        <v>-49.000000000000007</v>
      </c>
      <c r="AA3" s="4">
        <f t="shared" si="2"/>
        <v>-36</v>
      </c>
      <c r="AB3" s="4">
        <f t="shared" si="3"/>
        <v>-45</v>
      </c>
      <c r="AC3" s="13">
        <f t="shared" si="4"/>
        <v>4</v>
      </c>
      <c r="AD3" s="15">
        <f t="shared" si="5"/>
        <v>68</v>
      </c>
      <c r="AG3" s="18">
        <v>0</v>
      </c>
      <c r="AH3" s="19">
        <f t="shared" si="6"/>
        <v>30</v>
      </c>
      <c r="AI3" s="19">
        <f t="shared" si="7"/>
        <v>150</v>
      </c>
      <c r="AJ3" s="20">
        <f t="shared" ref="AJ3:AJ32" si="15">AG3+X3-10</f>
        <v>8.9999999999999964</v>
      </c>
      <c r="AK3" s="19">
        <f t="shared" ref="AK3:AK19" si="16">AJ3</f>
        <v>8.9999999999999964</v>
      </c>
      <c r="AL3" s="19">
        <f t="shared" ref="AL3:AL32" si="17">AM3</f>
        <v>36</v>
      </c>
      <c r="AM3" s="19">
        <f t="shared" ref="AM3:AM32" si="18">AH3+Y3</f>
        <v>36</v>
      </c>
      <c r="AN3" s="19">
        <f t="shared" si="8"/>
        <v>101</v>
      </c>
      <c r="AO3" s="19">
        <f t="shared" ref="AO3:AO32" si="19">(AN3/2)+50</f>
        <v>100.5</v>
      </c>
      <c r="AP3" s="19">
        <f t="shared" ref="AP3:AP32" si="20">AN3+AC3</f>
        <v>105</v>
      </c>
      <c r="AQ3" s="19">
        <f t="shared" ref="AQ3:AQ32" si="21">AD3+250</f>
        <v>318</v>
      </c>
      <c r="AR3" s="47">
        <f t="shared" ref="AR3:AR32" si="22">(P3*50)-100</f>
        <v>-71.86699999999999</v>
      </c>
    </row>
    <row r="4" spans="1:48">
      <c r="A4" s="30">
        <f t="shared" si="0"/>
        <v>45780</v>
      </c>
      <c r="B4" s="31">
        <v>45780</v>
      </c>
      <c r="C4" s="32" t="s">
        <v>159</v>
      </c>
      <c r="D4" s="33">
        <v>2.0833333333333301E-2</v>
      </c>
      <c r="E4" s="35">
        <f t="shared" si="10"/>
        <v>4.166666666666663E-2</v>
      </c>
      <c r="F4" s="34">
        <v>30</v>
      </c>
      <c r="G4" s="33">
        <v>0.125</v>
      </c>
      <c r="H4" s="36">
        <f t="shared" si="11"/>
        <v>120.00000000000006</v>
      </c>
      <c r="I4" s="37">
        <f t="shared" si="12"/>
        <v>9.7222222222222224E-2</v>
      </c>
      <c r="J4" s="4">
        <v>5</v>
      </c>
      <c r="K4" s="7"/>
      <c r="L4" s="2">
        <v>3.7499999999999999E-2</v>
      </c>
      <c r="M4" s="2">
        <v>4.7222222222222221E-2</v>
      </c>
      <c r="N4" s="83">
        <v>9.375E-2</v>
      </c>
      <c r="O4" s="45">
        <v>9.583333333333334E-2</v>
      </c>
      <c r="P4" s="47">
        <v>0.57998000000000005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13"/>
        <v>14</v>
      </c>
      <c r="W4" s="95">
        <f t="shared" si="13"/>
        <v>67</v>
      </c>
      <c r="X4" s="40">
        <f t="shared" si="14"/>
        <v>24.000000000000046</v>
      </c>
      <c r="Y4" s="4">
        <f t="shared" si="14"/>
        <v>8.0000000000000515</v>
      </c>
      <c r="Z4" s="4">
        <f t="shared" si="1"/>
        <v>-45</v>
      </c>
      <c r="AA4" s="4">
        <f t="shared" si="2"/>
        <v>-29.000000000000014</v>
      </c>
      <c r="AB4" s="4">
        <f t="shared" si="3"/>
        <v>-41.999999999999993</v>
      </c>
      <c r="AC4" s="13">
        <f t="shared" si="4"/>
        <v>3</v>
      </c>
      <c r="AD4" s="15">
        <f t="shared" si="5"/>
        <v>69.000000000000043</v>
      </c>
      <c r="AG4" s="18">
        <v>0</v>
      </c>
      <c r="AH4" s="19">
        <f t="shared" si="6"/>
        <v>30</v>
      </c>
      <c r="AI4" s="19">
        <f t="shared" si="7"/>
        <v>150.00000000000006</v>
      </c>
      <c r="AJ4" s="20">
        <f t="shared" si="15"/>
        <v>14.000000000000046</v>
      </c>
      <c r="AK4" s="19">
        <f t="shared" si="16"/>
        <v>14.000000000000046</v>
      </c>
      <c r="AL4" s="19">
        <f t="shared" si="17"/>
        <v>38.00000000000005</v>
      </c>
      <c r="AM4" s="19">
        <f t="shared" si="18"/>
        <v>38.00000000000005</v>
      </c>
      <c r="AN4" s="19">
        <f t="shared" si="8"/>
        <v>105.00000000000006</v>
      </c>
      <c r="AO4" s="19">
        <f t="shared" si="19"/>
        <v>102.50000000000003</v>
      </c>
      <c r="AP4" s="19">
        <f t="shared" si="20"/>
        <v>108.00000000000006</v>
      </c>
      <c r="AQ4" s="19">
        <f t="shared" si="21"/>
        <v>319.00000000000006</v>
      </c>
      <c r="AR4" s="47">
        <f t="shared" si="22"/>
        <v>-71.001000000000005</v>
      </c>
    </row>
    <row r="5" spans="1:48">
      <c r="A5" s="30">
        <f t="shared" si="0"/>
        <v>45781</v>
      </c>
      <c r="B5" s="31">
        <v>45781</v>
      </c>
      <c r="C5" s="32" t="s">
        <v>159</v>
      </c>
      <c r="D5" s="33">
        <v>2.0833333333333301E-2</v>
      </c>
      <c r="E5" s="35">
        <f t="shared" si="10"/>
        <v>4.166666666666663E-2</v>
      </c>
      <c r="F5" s="34">
        <v>30</v>
      </c>
      <c r="G5" s="33">
        <v>0.125</v>
      </c>
      <c r="H5" s="36">
        <f t="shared" si="11"/>
        <v>120.00000000000006</v>
      </c>
      <c r="I5" s="37">
        <f t="shared" si="12"/>
        <v>0.13680555555555554</v>
      </c>
      <c r="J5" s="4">
        <v>5</v>
      </c>
      <c r="K5" s="7"/>
      <c r="L5" s="2">
        <v>4.0972222222222222E-2</v>
      </c>
      <c r="M5" s="2">
        <v>7.7777777777777779E-2</v>
      </c>
      <c r="N5" s="83">
        <v>0.13333333333333333</v>
      </c>
      <c r="O5" s="96">
        <v>0.13541666666666666</v>
      </c>
      <c r="P5" s="47">
        <v>0.57789000000000001</v>
      </c>
      <c r="Q5" t="s">
        <v>44</v>
      </c>
      <c r="R5" t="s">
        <v>45</v>
      </c>
      <c r="S5" t="s">
        <v>45</v>
      </c>
      <c r="T5" t="s">
        <v>45</v>
      </c>
      <c r="U5" s="7"/>
      <c r="V5" s="13">
        <f t="shared" si="13"/>
        <v>53</v>
      </c>
      <c r="W5" s="94">
        <f t="shared" si="13"/>
        <v>80</v>
      </c>
      <c r="X5" s="40">
        <f t="shared" si="14"/>
        <v>29.000000000000046</v>
      </c>
      <c r="Y5" s="4">
        <f t="shared" si="14"/>
        <v>52.000000000000057</v>
      </c>
      <c r="Z5" s="4">
        <f t="shared" si="1"/>
        <v>11.999999999999996</v>
      </c>
      <c r="AA5" s="4">
        <f t="shared" si="2"/>
        <v>-11.000000000000014</v>
      </c>
      <c r="AB5" s="4">
        <f t="shared" si="3"/>
        <v>14.999999999999986</v>
      </c>
      <c r="AC5" s="13">
        <f t="shared" si="4"/>
        <v>3</v>
      </c>
      <c r="AD5" s="15">
        <f t="shared" si="5"/>
        <v>17.00000000000005</v>
      </c>
      <c r="AG5" s="18">
        <v>0</v>
      </c>
      <c r="AH5" s="19">
        <f t="shared" si="6"/>
        <v>30</v>
      </c>
      <c r="AI5" s="19">
        <f t="shared" si="7"/>
        <v>150.00000000000006</v>
      </c>
      <c r="AJ5" s="20">
        <f t="shared" si="15"/>
        <v>19.000000000000046</v>
      </c>
      <c r="AK5" s="19">
        <f t="shared" si="16"/>
        <v>19.000000000000046</v>
      </c>
      <c r="AL5" s="19">
        <f t="shared" si="17"/>
        <v>82.000000000000057</v>
      </c>
      <c r="AM5" s="19">
        <f t="shared" si="18"/>
        <v>82.000000000000057</v>
      </c>
      <c r="AN5" s="19">
        <f t="shared" si="8"/>
        <v>162.00000000000006</v>
      </c>
      <c r="AO5" s="19">
        <f t="shared" si="19"/>
        <v>131.00000000000003</v>
      </c>
      <c r="AP5" s="19">
        <f t="shared" si="20"/>
        <v>165.00000000000006</v>
      </c>
      <c r="AQ5" s="19">
        <f t="shared" si="21"/>
        <v>267.00000000000006</v>
      </c>
      <c r="AR5" s="47">
        <f t="shared" si="22"/>
        <v>-71.105500000000006</v>
      </c>
      <c r="AS5">
        <f t="shared" si="9"/>
        <v>-225</v>
      </c>
    </row>
    <row r="6" spans="1:48">
      <c r="A6" s="30">
        <f t="shared" si="0"/>
        <v>45782</v>
      </c>
      <c r="B6" s="31">
        <v>45782</v>
      </c>
      <c r="C6" s="32" t="s">
        <v>159</v>
      </c>
      <c r="D6" s="33">
        <v>2.0833333333333301E-2</v>
      </c>
      <c r="E6" s="35">
        <f t="shared" si="10"/>
        <v>4.166666666666663E-2</v>
      </c>
      <c r="F6" s="34">
        <v>30</v>
      </c>
      <c r="G6" s="33">
        <v>0.125</v>
      </c>
      <c r="H6" s="36">
        <f t="shared" si="11"/>
        <v>120.00000000000006</v>
      </c>
      <c r="I6" s="37">
        <f t="shared" si="12"/>
        <v>9.5138888888888884E-2</v>
      </c>
      <c r="J6" s="4">
        <v>5</v>
      </c>
      <c r="K6" s="7"/>
      <c r="L6" s="2">
        <v>3.4027777777777775E-2</v>
      </c>
      <c r="M6" s="2">
        <v>4.0972222222222222E-2</v>
      </c>
      <c r="N6" s="83">
        <v>9.166666666666666E-2</v>
      </c>
      <c r="O6" s="45">
        <v>9.375E-2</v>
      </c>
      <c r="P6" s="47">
        <v>0.57767999999999997</v>
      </c>
      <c r="Q6" t="s">
        <v>45</v>
      </c>
      <c r="R6" t="s">
        <v>45</v>
      </c>
      <c r="S6" t="s">
        <v>45</v>
      </c>
      <c r="T6" t="s">
        <v>45</v>
      </c>
      <c r="U6" s="7"/>
      <c r="V6" s="13">
        <f t="shared" si="13"/>
        <v>10.000000000000004</v>
      </c>
      <c r="W6" s="95">
        <f t="shared" si="13"/>
        <v>72.999999999999986</v>
      </c>
      <c r="X6" s="40">
        <f t="shared" si="14"/>
        <v>19.000000000000043</v>
      </c>
      <c r="Y6" s="4">
        <f t="shared" si="14"/>
        <v>-0.99999999999994649</v>
      </c>
      <c r="Z6" s="4">
        <f t="shared" si="1"/>
        <v>-48.000000000000007</v>
      </c>
      <c r="AA6" s="4">
        <f t="shared" si="2"/>
        <v>-28.000000000000028</v>
      </c>
      <c r="AB6" s="4">
        <f t="shared" si="3"/>
        <v>-45</v>
      </c>
      <c r="AC6" s="13">
        <f t="shared" si="4"/>
        <v>3</v>
      </c>
      <c r="AD6" s="15">
        <f t="shared" si="5"/>
        <v>67.000000000000057</v>
      </c>
      <c r="AG6" s="18">
        <v>0</v>
      </c>
      <c r="AH6" s="19">
        <f t="shared" si="6"/>
        <v>30</v>
      </c>
      <c r="AI6" s="19">
        <f t="shared" si="7"/>
        <v>150.00000000000006</v>
      </c>
      <c r="AJ6" s="20">
        <f t="shared" si="15"/>
        <v>9.0000000000000426</v>
      </c>
      <c r="AK6" s="19">
        <f t="shared" si="16"/>
        <v>9.0000000000000426</v>
      </c>
      <c r="AL6" s="19">
        <f t="shared" si="17"/>
        <v>29.000000000000053</v>
      </c>
      <c r="AM6" s="19">
        <f t="shared" si="18"/>
        <v>29.000000000000053</v>
      </c>
      <c r="AN6" s="19">
        <f t="shared" si="8"/>
        <v>102.00000000000004</v>
      </c>
      <c r="AO6" s="19">
        <f t="shared" si="19"/>
        <v>101.00000000000003</v>
      </c>
      <c r="AP6" s="19">
        <f t="shared" si="20"/>
        <v>105.00000000000004</v>
      </c>
      <c r="AQ6" s="19">
        <f t="shared" si="21"/>
        <v>317.00000000000006</v>
      </c>
      <c r="AR6" s="47">
        <f t="shared" si="22"/>
        <v>-71.116</v>
      </c>
      <c r="AS6">
        <f t="shared" si="9"/>
        <v>0</v>
      </c>
      <c r="AT6">
        <f t="shared" ref="AT6:AT20" si="23">IF(R6="Yes",-210,0)</f>
        <v>0</v>
      </c>
    </row>
    <row r="7" spans="1:48">
      <c r="A7" s="30">
        <f t="shared" si="0"/>
        <v>45783</v>
      </c>
      <c r="B7" s="31">
        <v>45783</v>
      </c>
      <c r="C7" s="32" t="s">
        <v>159</v>
      </c>
      <c r="D7" s="33">
        <v>2.0833333333333301E-2</v>
      </c>
      <c r="E7" s="35">
        <f t="shared" si="10"/>
        <v>4.166666666666663E-2</v>
      </c>
      <c r="F7" s="34">
        <v>30</v>
      </c>
      <c r="G7" s="33">
        <v>0.125</v>
      </c>
      <c r="H7" s="36">
        <f t="shared" si="11"/>
        <v>120.00000000000006</v>
      </c>
      <c r="I7" s="37">
        <f t="shared" si="12"/>
        <v>0.14583333333333331</v>
      </c>
      <c r="J7" s="4">
        <v>5</v>
      </c>
      <c r="K7" s="7"/>
      <c r="L7" s="2">
        <v>3.5416666666666666E-2</v>
      </c>
      <c r="M7" s="2">
        <v>7.2222222222222215E-2</v>
      </c>
      <c r="N7" s="83">
        <v>0.1423611111111111</v>
      </c>
      <c r="O7" s="45">
        <v>0.1451388888888889</v>
      </c>
      <c r="P7" s="47">
        <v>0.57696000000000003</v>
      </c>
      <c r="Q7" t="s">
        <v>44</v>
      </c>
      <c r="R7" t="s">
        <v>45</v>
      </c>
      <c r="S7" t="s">
        <v>45</v>
      </c>
      <c r="T7" t="s">
        <v>45</v>
      </c>
      <c r="U7" s="7"/>
      <c r="V7" s="13">
        <f t="shared" si="13"/>
        <v>52.999999999999993</v>
      </c>
      <c r="W7" s="94">
        <f t="shared" si="13"/>
        <v>101</v>
      </c>
      <c r="X7" s="40">
        <f t="shared" si="14"/>
        <v>21.000000000000046</v>
      </c>
      <c r="Y7" s="4">
        <f t="shared" si="14"/>
        <v>44.000000000000043</v>
      </c>
      <c r="Z7" s="4">
        <f t="shared" si="1"/>
        <v>24.999999999999993</v>
      </c>
      <c r="AA7" s="4">
        <f t="shared" si="2"/>
        <v>1.9999999999999858</v>
      </c>
      <c r="AB7" s="4">
        <f t="shared" si="3"/>
        <v>29.000000000000018</v>
      </c>
      <c r="AC7" s="13">
        <f t="shared" si="4"/>
        <v>4</v>
      </c>
      <c r="AD7" s="15">
        <f t="shared" si="5"/>
        <v>-3.9999999999999467</v>
      </c>
      <c r="AG7" s="18">
        <v>0</v>
      </c>
      <c r="AH7" s="19">
        <f t="shared" si="6"/>
        <v>30</v>
      </c>
      <c r="AI7" s="19">
        <f t="shared" si="7"/>
        <v>150.00000000000006</v>
      </c>
      <c r="AJ7" s="20">
        <f t="shared" si="15"/>
        <v>11.000000000000046</v>
      </c>
      <c r="AK7" s="19">
        <f t="shared" si="16"/>
        <v>11.000000000000046</v>
      </c>
      <c r="AL7" s="19">
        <f t="shared" si="17"/>
        <v>74.000000000000043</v>
      </c>
      <c r="AM7" s="19">
        <f t="shared" si="18"/>
        <v>74.000000000000043</v>
      </c>
      <c r="AN7" s="19">
        <f t="shared" si="8"/>
        <v>175.00000000000006</v>
      </c>
      <c r="AO7" s="19">
        <f t="shared" si="19"/>
        <v>137.50000000000003</v>
      </c>
      <c r="AP7" s="19">
        <f t="shared" si="20"/>
        <v>179.00000000000006</v>
      </c>
      <c r="AQ7" s="19">
        <f t="shared" si="21"/>
        <v>246.00000000000006</v>
      </c>
      <c r="AR7" s="47">
        <f t="shared" si="22"/>
        <v>-71.152000000000001</v>
      </c>
    </row>
    <row r="8" spans="1:48">
      <c r="A8" s="30">
        <f t="shared" si="0"/>
        <v>45784</v>
      </c>
      <c r="B8" s="31">
        <v>45784</v>
      </c>
      <c r="C8" s="32" t="s">
        <v>159</v>
      </c>
      <c r="D8" s="33">
        <v>2.0833333333333301E-2</v>
      </c>
      <c r="E8" s="35">
        <f t="shared" si="10"/>
        <v>4.166666666666663E-2</v>
      </c>
      <c r="F8" s="34">
        <v>30</v>
      </c>
      <c r="G8" s="33">
        <v>0.125</v>
      </c>
      <c r="H8" s="36">
        <f t="shared" si="11"/>
        <v>120.00000000000006</v>
      </c>
      <c r="I8" s="37">
        <f t="shared" si="12"/>
        <v>0.11111111111111112</v>
      </c>
      <c r="J8" s="4">
        <v>5</v>
      </c>
      <c r="K8" s="7"/>
      <c r="L8" s="2">
        <v>3.3333333333333333E-2</v>
      </c>
      <c r="M8" s="2">
        <v>5.1388888888888887E-2</v>
      </c>
      <c r="N8" s="83">
        <v>0.1076388888888889</v>
      </c>
      <c r="O8" s="45">
        <v>0.10972222222222222</v>
      </c>
      <c r="P8" s="47">
        <v>0.57847000000000004</v>
      </c>
      <c r="Q8" t="s">
        <v>44</v>
      </c>
      <c r="R8" t="s">
        <v>45</v>
      </c>
      <c r="S8" t="s">
        <v>45</v>
      </c>
      <c r="T8" t="s">
        <v>45</v>
      </c>
      <c r="U8" s="7"/>
      <c r="V8" s="13">
        <f t="shared" si="13"/>
        <v>25.999999999999996</v>
      </c>
      <c r="W8" s="94">
        <f t="shared" si="13"/>
        <v>81.000000000000014</v>
      </c>
      <c r="X8" s="40">
        <f t="shared" si="14"/>
        <v>18.000000000000046</v>
      </c>
      <c r="Y8" s="4">
        <f t="shared" si="14"/>
        <v>14.00000000000005</v>
      </c>
      <c r="Z8" s="4">
        <f t="shared" si="1"/>
        <v>-24.999999999999993</v>
      </c>
      <c r="AA8" s="4">
        <f t="shared" si="2"/>
        <v>-21</v>
      </c>
      <c r="AB8" s="4">
        <f t="shared" si="3"/>
        <v>-22</v>
      </c>
      <c r="AC8" s="13">
        <f t="shared" si="4"/>
        <v>3</v>
      </c>
      <c r="AD8" s="15">
        <f t="shared" si="5"/>
        <v>43.000000000000043</v>
      </c>
      <c r="AG8" s="18">
        <v>0</v>
      </c>
      <c r="AH8" s="19">
        <f t="shared" si="6"/>
        <v>30</v>
      </c>
      <c r="AI8" s="19">
        <f t="shared" si="7"/>
        <v>150.00000000000006</v>
      </c>
      <c r="AJ8" s="20">
        <f t="shared" si="15"/>
        <v>8.0000000000000462</v>
      </c>
      <c r="AK8" s="19">
        <f t="shared" si="16"/>
        <v>8.0000000000000462</v>
      </c>
      <c r="AL8" s="19">
        <f t="shared" si="17"/>
        <v>44.00000000000005</v>
      </c>
      <c r="AM8" s="19">
        <f t="shared" si="18"/>
        <v>44.00000000000005</v>
      </c>
      <c r="AN8" s="19">
        <f t="shared" si="8"/>
        <v>125.00000000000006</v>
      </c>
      <c r="AO8" s="19">
        <f t="shared" si="19"/>
        <v>112.50000000000003</v>
      </c>
      <c r="AP8" s="19">
        <f t="shared" si="20"/>
        <v>128.00000000000006</v>
      </c>
      <c r="AQ8" s="19">
        <f t="shared" si="21"/>
        <v>293.00000000000006</v>
      </c>
      <c r="AR8" s="47">
        <f t="shared" si="22"/>
        <v>-71.076499999999996</v>
      </c>
      <c r="AU8">
        <f t="shared" ref="AU8" si="24">IF(S8="Yes",-195,0)</f>
        <v>0</v>
      </c>
    </row>
    <row r="9" spans="1:48">
      <c r="A9" s="30">
        <f t="shared" si="0"/>
        <v>45785</v>
      </c>
      <c r="B9" s="31">
        <v>45785</v>
      </c>
      <c r="C9" s="32" t="s">
        <v>159</v>
      </c>
      <c r="D9" s="33">
        <v>2.0833333333333301E-2</v>
      </c>
      <c r="E9" s="35">
        <f t="shared" si="10"/>
        <v>4.166666666666663E-2</v>
      </c>
      <c r="F9" s="34">
        <v>30</v>
      </c>
      <c r="G9" s="33">
        <v>0.125</v>
      </c>
      <c r="H9" s="36">
        <f t="shared" si="11"/>
        <v>120.00000000000006</v>
      </c>
      <c r="I9" s="37">
        <f t="shared" si="12"/>
        <v>0.12708333333333333</v>
      </c>
      <c r="J9" s="4">
        <v>5</v>
      </c>
      <c r="K9" s="7"/>
      <c r="L9" s="2">
        <v>4.1666666666666664E-2</v>
      </c>
      <c r="M9" s="2">
        <v>7.013888888888889E-2</v>
      </c>
      <c r="N9" s="83">
        <v>0.12361111111111112</v>
      </c>
      <c r="O9" s="45">
        <v>0.12638888888888888</v>
      </c>
      <c r="P9" s="47">
        <v>0.57945000000000002</v>
      </c>
      <c r="Q9" t="s">
        <v>44</v>
      </c>
      <c r="R9" t="s">
        <v>45</v>
      </c>
      <c r="S9" t="s">
        <v>45</v>
      </c>
      <c r="T9" t="s">
        <v>45</v>
      </c>
      <c r="U9" s="7"/>
      <c r="V9" s="13">
        <f t="shared" si="13"/>
        <v>41.000000000000007</v>
      </c>
      <c r="W9" s="94">
        <f t="shared" si="13"/>
        <v>77</v>
      </c>
      <c r="X9" s="40">
        <f t="shared" si="14"/>
        <v>30.000000000000043</v>
      </c>
      <c r="Y9" s="4">
        <f t="shared" si="14"/>
        <v>41.000000000000057</v>
      </c>
      <c r="Z9" s="4">
        <f t="shared" si="1"/>
        <v>-1.9999999999999929</v>
      </c>
      <c r="AA9" s="4">
        <f t="shared" si="2"/>
        <v>-13.000000000000014</v>
      </c>
      <c r="AB9" s="4">
        <f t="shared" si="3"/>
        <v>1.9999999999999929</v>
      </c>
      <c r="AC9" s="13">
        <f t="shared" si="4"/>
        <v>4</v>
      </c>
      <c r="AD9" s="15">
        <f t="shared" si="5"/>
        <v>32.000000000000036</v>
      </c>
      <c r="AG9" s="18">
        <v>0</v>
      </c>
      <c r="AH9" s="19">
        <f t="shared" si="6"/>
        <v>30</v>
      </c>
      <c r="AI9" s="19">
        <f t="shared" si="7"/>
        <v>150.00000000000006</v>
      </c>
      <c r="AJ9" s="20">
        <f t="shared" si="15"/>
        <v>20.000000000000043</v>
      </c>
      <c r="AK9" s="19">
        <f t="shared" si="16"/>
        <v>20.000000000000043</v>
      </c>
      <c r="AL9" s="19">
        <f t="shared" si="17"/>
        <v>71.000000000000057</v>
      </c>
      <c r="AM9" s="19">
        <f t="shared" si="18"/>
        <v>71.000000000000057</v>
      </c>
      <c r="AN9" s="19">
        <f t="shared" si="8"/>
        <v>148.00000000000006</v>
      </c>
      <c r="AO9" s="19">
        <f t="shared" si="19"/>
        <v>124.00000000000003</v>
      </c>
      <c r="AP9" s="19">
        <f t="shared" si="20"/>
        <v>152.00000000000006</v>
      </c>
      <c r="AQ9" s="19">
        <f t="shared" si="21"/>
        <v>282.00000000000006</v>
      </c>
      <c r="AR9" s="47">
        <f t="shared" si="22"/>
        <v>-71.027500000000003</v>
      </c>
    </row>
    <row r="10" spans="1:48">
      <c r="A10" s="30">
        <f t="shared" si="0"/>
        <v>45786</v>
      </c>
      <c r="B10" s="31">
        <v>45786</v>
      </c>
      <c r="C10" s="32" t="s">
        <v>159</v>
      </c>
      <c r="D10" s="33">
        <v>2.0833333333333301E-2</v>
      </c>
      <c r="E10" s="35">
        <f t="shared" si="10"/>
        <v>4.166666666666663E-2</v>
      </c>
      <c r="F10" s="34">
        <v>30</v>
      </c>
      <c r="G10" s="33">
        <v>0.125</v>
      </c>
      <c r="H10" s="36">
        <f t="shared" si="11"/>
        <v>120.00000000000006</v>
      </c>
      <c r="I10" s="37">
        <f t="shared" si="12"/>
        <v>0.12152777777777778</v>
      </c>
      <c r="J10" s="4">
        <v>5</v>
      </c>
      <c r="K10" s="7"/>
      <c r="L10" s="2">
        <v>5.2777777777777778E-2</v>
      </c>
      <c r="M10" s="2">
        <v>6.5972222222222224E-2</v>
      </c>
      <c r="N10" s="83">
        <v>0.11805555555555555</v>
      </c>
      <c r="O10" s="45">
        <v>0.12083333333333333</v>
      </c>
      <c r="P10" s="47">
        <v>0.57662999999999998</v>
      </c>
      <c r="Q10" t="s">
        <v>44</v>
      </c>
      <c r="R10" t="s">
        <v>45</v>
      </c>
      <c r="S10" t="s">
        <v>45</v>
      </c>
      <c r="T10" t="s">
        <v>45</v>
      </c>
      <c r="U10" s="7"/>
      <c r="V10" s="13">
        <f t="shared" si="13"/>
        <v>19.000000000000004</v>
      </c>
      <c r="W10" s="94">
        <f t="shared" si="13"/>
        <v>75</v>
      </c>
      <c r="X10" s="40">
        <f t="shared" si="14"/>
        <v>46.00000000000005</v>
      </c>
      <c r="Y10" s="4">
        <f t="shared" si="14"/>
        <v>35.000000000000057</v>
      </c>
      <c r="Z10" s="4">
        <f t="shared" si="1"/>
        <v>-10.000000000000004</v>
      </c>
      <c r="AA10" s="4">
        <f t="shared" si="2"/>
        <v>1</v>
      </c>
      <c r="AB10" s="4">
        <f t="shared" si="3"/>
        <v>-5.9999999999999982</v>
      </c>
      <c r="AC10" s="13">
        <f t="shared" si="4"/>
        <v>4</v>
      </c>
      <c r="AD10" s="15">
        <f t="shared" si="5"/>
        <v>56.000000000000057</v>
      </c>
      <c r="AG10" s="18">
        <v>0</v>
      </c>
      <c r="AH10" s="19">
        <f t="shared" si="6"/>
        <v>30</v>
      </c>
      <c r="AI10" s="19">
        <f t="shared" si="7"/>
        <v>150.00000000000006</v>
      </c>
      <c r="AJ10" s="20">
        <f t="shared" si="15"/>
        <v>36.00000000000005</v>
      </c>
      <c r="AK10" s="19">
        <f t="shared" si="16"/>
        <v>36.00000000000005</v>
      </c>
      <c r="AL10" s="19">
        <f t="shared" si="17"/>
        <v>65.000000000000057</v>
      </c>
      <c r="AM10" s="19">
        <f t="shared" si="18"/>
        <v>65.000000000000057</v>
      </c>
      <c r="AN10" s="19">
        <f t="shared" si="8"/>
        <v>140.00000000000006</v>
      </c>
      <c r="AO10" s="19">
        <f t="shared" si="19"/>
        <v>120.00000000000003</v>
      </c>
      <c r="AP10" s="19">
        <f t="shared" si="20"/>
        <v>144.00000000000006</v>
      </c>
      <c r="AQ10" s="19">
        <f t="shared" si="21"/>
        <v>306.00000000000006</v>
      </c>
      <c r="AR10" s="47">
        <f t="shared" si="22"/>
        <v>-71.168499999999995</v>
      </c>
    </row>
    <row r="11" spans="1:48">
      <c r="A11" s="30">
        <f t="shared" si="0"/>
        <v>45787</v>
      </c>
      <c r="B11" s="31">
        <v>45787</v>
      </c>
      <c r="C11" s="32" t="s">
        <v>159</v>
      </c>
      <c r="D11" s="33">
        <v>2.0833333333333301E-2</v>
      </c>
      <c r="E11" s="35">
        <f t="shared" si="10"/>
        <v>4.166666666666663E-2</v>
      </c>
      <c r="F11" s="34">
        <v>30</v>
      </c>
      <c r="G11" s="33">
        <v>0.125</v>
      </c>
      <c r="H11" s="36">
        <f t="shared" si="11"/>
        <v>120.00000000000006</v>
      </c>
      <c r="I11" s="37">
        <f t="shared" si="12"/>
        <v>0.10416666666666667</v>
      </c>
      <c r="J11" s="4">
        <v>5</v>
      </c>
      <c r="K11" s="7"/>
      <c r="L11" s="2">
        <v>4.3055555555555555E-2</v>
      </c>
      <c r="M11" s="2">
        <v>5.347222222222222E-2</v>
      </c>
      <c r="N11" s="83">
        <v>0.10069444444444445</v>
      </c>
      <c r="O11" s="45">
        <v>0.10208333333333333</v>
      </c>
      <c r="P11" s="47">
        <v>0.57533000000000001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3"/>
        <v>14.999999999999996</v>
      </c>
      <c r="W11" s="95">
        <f t="shared" si="13"/>
        <v>68.000000000000014</v>
      </c>
      <c r="X11" s="40">
        <f t="shared" si="14"/>
        <v>32.000000000000043</v>
      </c>
      <c r="Y11" s="4">
        <f t="shared" si="14"/>
        <v>17.00000000000005</v>
      </c>
      <c r="Z11" s="4">
        <f t="shared" si="1"/>
        <v>-34.999999999999993</v>
      </c>
      <c r="AA11" s="4">
        <f t="shared" si="2"/>
        <v>-20</v>
      </c>
      <c r="AB11" s="4">
        <f t="shared" si="3"/>
        <v>-33</v>
      </c>
      <c r="AC11" s="13">
        <f t="shared" si="4"/>
        <v>2</v>
      </c>
      <c r="AD11" s="15">
        <f t="shared" si="5"/>
        <v>67.000000000000028</v>
      </c>
      <c r="AG11" s="18">
        <v>0</v>
      </c>
      <c r="AH11" s="19">
        <f t="shared" si="6"/>
        <v>30</v>
      </c>
      <c r="AI11" s="19">
        <f t="shared" si="7"/>
        <v>150.00000000000006</v>
      </c>
      <c r="AJ11" s="20">
        <f t="shared" si="15"/>
        <v>22.000000000000043</v>
      </c>
      <c r="AK11" s="19">
        <f t="shared" si="16"/>
        <v>22.000000000000043</v>
      </c>
      <c r="AL11" s="19">
        <f t="shared" si="17"/>
        <v>47.00000000000005</v>
      </c>
      <c r="AM11" s="19">
        <f t="shared" si="18"/>
        <v>47.00000000000005</v>
      </c>
      <c r="AN11" s="19">
        <f t="shared" si="8"/>
        <v>115.00000000000006</v>
      </c>
      <c r="AO11" s="19">
        <f t="shared" si="19"/>
        <v>107.50000000000003</v>
      </c>
      <c r="AP11" s="19">
        <f t="shared" si="20"/>
        <v>117.00000000000006</v>
      </c>
      <c r="AQ11" s="19">
        <f t="shared" si="21"/>
        <v>317</v>
      </c>
      <c r="AR11" s="47">
        <f t="shared" si="22"/>
        <v>-71.233499999999992</v>
      </c>
    </row>
    <row r="12" spans="1:48">
      <c r="A12" s="30">
        <f t="shared" si="0"/>
        <v>45788</v>
      </c>
      <c r="B12" s="31">
        <v>45788</v>
      </c>
      <c r="C12" s="32" t="s">
        <v>159</v>
      </c>
      <c r="D12" s="33">
        <v>2.0833333333333301E-2</v>
      </c>
      <c r="E12" s="35">
        <f t="shared" si="10"/>
        <v>4.166666666666663E-2</v>
      </c>
      <c r="F12" s="34">
        <v>30</v>
      </c>
      <c r="G12" s="33">
        <v>0.125</v>
      </c>
      <c r="H12" s="36">
        <f t="shared" si="11"/>
        <v>120.00000000000006</v>
      </c>
      <c r="I12" s="37">
        <f t="shared" si="12"/>
        <v>9.7916666666666666E-2</v>
      </c>
      <c r="J12" s="4">
        <v>5</v>
      </c>
      <c r="K12" s="7"/>
      <c r="L12" s="2">
        <v>4.1666666666666664E-2</v>
      </c>
      <c r="M12" s="2">
        <v>4.7222222222222221E-2</v>
      </c>
      <c r="N12" s="83">
        <v>9.4444444444444442E-2</v>
      </c>
      <c r="O12" s="45">
        <v>9.6527777777777782E-2</v>
      </c>
      <c r="P12" s="47">
        <v>0.57508000000000004</v>
      </c>
      <c r="Q12" t="s">
        <v>45</v>
      </c>
      <c r="R12" t="s">
        <v>45</v>
      </c>
      <c r="S12" t="s">
        <v>45</v>
      </c>
      <c r="T12" t="s">
        <v>45</v>
      </c>
      <c r="U12" s="7"/>
      <c r="V12" s="13">
        <f t="shared" si="13"/>
        <v>8.0000000000000018</v>
      </c>
      <c r="W12" s="95">
        <f t="shared" si="13"/>
        <v>68</v>
      </c>
      <c r="X12" s="40">
        <f t="shared" si="14"/>
        <v>30.000000000000043</v>
      </c>
      <c r="Y12" s="4">
        <f t="shared" si="14"/>
        <v>8.0000000000000515</v>
      </c>
      <c r="Z12" s="4">
        <f t="shared" si="1"/>
        <v>-44</v>
      </c>
      <c r="AA12" s="4">
        <f t="shared" si="2"/>
        <v>-22.000000000000014</v>
      </c>
      <c r="AB12" s="4">
        <f t="shared" si="3"/>
        <v>-40.999999999999993</v>
      </c>
      <c r="AC12" s="13">
        <f t="shared" si="4"/>
        <v>3</v>
      </c>
      <c r="AD12" s="15">
        <f t="shared" si="5"/>
        <v>74.000000000000043</v>
      </c>
      <c r="AG12" s="18">
        <v>0</v>
      </c>
      <c r="AH12" s="19">
        <f t="shared" si="6"/>
        <v>30</v>
      </c>
      <c r="AI12" s="19">
        <f t="shared" si="7"/>
        <v>150.00000000000006</v>
      </c>
      <c r="AJ12" s="20">
        <f t="shared" si="15"/>
        <v>20.000000000000043</v>
      </c>
      <c r="AK12" s="19">
        <f t="shared" si="16"/>
        <v>20.000000000000043</v>
      </c>
      <c r="AL12" s="19">
        <f t="shared" si="17"/>
        <v>38.00000000000005</v>
      </c>
      <c r="AM12" s="19">
        <f t="shared" si="18"/>
        <v>38.00000000000005</v>
      </c>
      <c r="AN12" s="19">
        <f t="shared" si="8"/>
        <v>106.00000000000006</v>
      </c>
      <c r="AO12" s="19">
        <f t="shared" si="19"/>
        <v>103.00000000000003</v>
      </c>
      <c r="AP12" s="19">
        <f t="shared" si="20"/>
        <v>109.00000000000006</v>
      </c>
      <c r="AQ12" s="19">
        <f t="shared" si="21"/>
        <v>324.00000000000006</v>
      </c>
      <c r="AR12" s="47">
        <f t="shared" si="22"/>
        <v>-71.245999999999995</v>
      </c>
      <c r="AS12">
        <f t="shared" si="9"/>
        <v>0</v>
      </c>
    </row>
    <row r="13" spans="1:48">
      <c r="A13" s="30">
        <f t="shared" si="0"/>
        <v>45789</v>
      </c>
      <c r="B13" s="31">
        <v>45789</v>
      </c>
      <c r="C13" s="32" t="s">
        <v>159</v>
      </c>
      <c r="D13" s="33">
        <v>2.0833333333333301E-2</v>
      </c>
      <c r="E13" s="35">
        <f t="shared" si="10"/>
        <v>4.166666666666663E-2</v>
      </c>
      <c r="F13" s="34">
        <v>30</v>
      </c>
      <c r="G13" s="33">
        <v>0.125</v>
      </c>
      <c r="H13" s="36">
        <f t="shared" si="11"/>
        <v>120.00000000000006</v>
      </c>
      <c r="I13" s="37">
        <f t="shared" si="12"/>
        <v>9.7222222222222224E-2</v>
      </c>
      <c r="J13" s="4">
        <v>5</v>
      </c>
      <c r="K13" s="7"/>
      <c r="L13" s="2">
        <v>2.7777777777777776E-2</v>
      </c>
      <c r="M13" s="2">
        <v>4.5138888888888888E-2</v>
      </c>
      <c r="N13" s="83">
        <v>9.375E-2</v>
      </c>
      <c r="O13" s="45">
        <v>9.8611111111111108E-2</v>
      </c>
      <c r="P13" s="47">
        <v>0.57523999999999997</v>
      </c>
      <c r="Q13" t="s">
        <v>45</v>
      </c>
      <c r="R13" t="s">
        <v>45</v>
      </c>
      <c r="S13" t="s">
        <v>45</v>
      </c>
      <c r="T13" t="s">
        <v>45</v>
      </c>
      <c r="U13" s="7"/>
      <c r="V13" s="13">
        <f t="shared" si="13"/>
        <v>25</v>
      </c>
      <c r="W13" s="95">
        <f t="shared" si="13"/>
        <v>70</v>
      </c>
      <c r="X13" s="40">
        <f t="shared" si="14"/>
        <v>10.000000000000044</v>
      </c>
      <c r="Y13" s="4">
        <f t="shared" si="14"/>
        <v>5.0000000000000524</v>
      </c>
      <c r="Z13" s="4">
        <f t="shared" si="1"/>
        <v>-45</v>
      </c>
      <c r="AA13" s="4">
        <f t="shared" si="2"/>
        <v>-40.000000000000014</v>
      </c>
      <c r="AB13" s="4">
        <f t="shared" si="3"/>
        <v>-38.000000000000007</v>
      </c>
      <c r="AC13" s="13">
        <f t="shared" si="4"/>
        <v>7</v>
      </c>
      <c r="AD13" s="15">
        <f t="shared" si="5"/>
        <v>55.000000000000043</v>
      </c>
      <c r="AG13" s="18">
        <v>0</v>
      </c>
      <c r="AH13" s="19">
        <f t="shared" si="6"/>
        <v>30</v>
      </c>
      <c r="AI13" s="19">
        <f t="shared" si="7"/>
        <v>150.00000000000006</v>
      </c>
      <c r="AJ13" s="20">
        <f t="shared" si="15"/>
        <v>4.4408920985006262E-14</v>
      </c>
      <c r="AK13" s="19">
        <f t="shared" si="16"/>
        <v>4.4408920985006262E-14</v>
      </c>
      <c r="AL13" s="19">
        <f t="shared" si="17"/>
        <v>35.00000000000005</v>
      </c>
      <c r="AM13" s="19">
        <f t="shared" si="18"/>
        <v>35.00000000000005</v>
      </c>
      <c r="AN13" s="19">
        <f t="shared" si="8"/>
        <v>105.00000000000006</v>
      </c>
      <c r="AO13" s="19">
        <f t="shared" si="19"/>
        <v>102.50000000000003</v>
      </c>
      <c r="AP13" s="19">
        <f t="shared" si="20"/>
        <v>112.00000000000006</v>
      </c>
      <c r="AQ13" s="19">
        <f t="shared" si="21"/>
        <v>305.00000000000006</v>
      </c>
      <c r="AR13" s="47">
        <f t="shared" si="22"/>
        <v>-71.238</v>
      </c>
    </row>
    <row r="14" spans="1:48">
      <c r="A14" s="30">
        <f t="shared" si="0"/>
        <v>45790</v>
      </c>
      <c r="B14" s="31">
        <v>45790</v>
      </c>
      <c r="C14" s="32" t="s">
        <v>159</v>
      </c>
      <c r="D14" s="33">
        <v>2.0833333333333301E-2</v>
      </c>
      <c r="E14" s="35">
        <f t="shared" si="10"/>
        <v>4.166666666666663E-2</v>
      </c>
      <c r="F14" s="34">
        <v>30</v>
      </c>
      <c r="G14" s="33">
        <v>0.125</v>
      </c>
      <c r="H14" s="36">
        <f t="shared" si="11"/>
        <v>120.00000000000006</v>
      </c>
      <c r="I14" s="37">
        <f t="shared" si="12"/>
        <v>0.1423611111111111</v>
      </c>
      <c r="J14" s="4">
        <v>5</v>
      </c>
      <c r="K14" s="7"/>
      <c r="L14" s="2">
        <v>6.1805555555555558E-2</v>
      </c>
      <c r="M14" s="2">
        <v>7.9166666666666663E-2</v>
      </c>
      <c r="N14" s="83">
        <v>0.1388888888888889</v>
      </c>
      <c r="O14" s="45">
        <v>0.14027777777777778</v>
      </c>
      <c r="P14" s="47">
        <v>0.57474000000000003</v>
      </c>
      <c r="Q14" t="s">
        <v>44</v>
      </c>
      <c r="R14" t="s">
        <v>45</v>
      </c>
      <c r="S14" t="s">
        <v>45</v>
      </c>
      <c r="T14" t="s">
        <v>45</v>
      </c>
      <c r="U14" s="7"/>
      <c r="V14" s="13">
        <f t="shared" si="13"/>
        <v>24.999999999999993</v>
      </c>
      <c r="W14" s="94">
        <f t="shared" si="13"/>
        <v>86.000000000000014</v>
      </c>
      <c r="X14" s="40">
        <f t="shared" si="14"/>
        <v>59.00000000000005</v>
      </c>
      <c r="Y14" s="4">
        <f t="shared" si="14"/>
        <v>54.00000000000005</v>
      </c>
      <c r="Z14" s="4">
        <f t="shared" si="1"/>
        <v>20.000000000000007</v>
      </c>
      <c r="AA14" s="4">
        <f t="shared" si="2"/>
        <v>25.000000000000007</v>
      </c>
      <c r="AB14" s="4">
        <f t="shared" si="3"/>
        <v>22</v>
      </c>
      <c r="AC14" s="13">
        <f t="shared" si="4"/>
        <v>2</v>
      </c>
      <c r="AD14" s="15">
        <f t="shared" si="5"/>
        <v>39.000000000000043</v>
      </c>
      <c r="AG14" s="18">
        <v>0</v>
      </c>
      <c r="AH14" s="19">
        <f t="shared" si="6"/>
        <v>30</v>
      </c>
      <c r="AI14" s="19">
        <f t="shared" si="7"/>
        <v>150.00000000000006</v>
      </c>
      <c r="AJ14" s="20">
        <f t="shared" si="15"/>
        <v>49.00000000000005</v>
      </c>
      <c r="AK14" s="19">
        <f t="shared" si="16"/>
        <v>49.00000000000005</v>
      </c>
      <c r="AL14" s="19">
        <f t="shared" si="17"/>
        <v>84.000000000000057</v>
      </c>
      <c r="AM14" s="19">
        <f t="shared" si="18"/>
        <v>84.000000000000057</v>
      </c>
      <c r="AN14" s="19">
        <f t="shared" si="8"/>
        <v>170.00000000000006</v>
      </c>
      <c r="AO14" s="19">
        <f t="shared" si="19"/>
        <v>135.00000000000003</v>
      </c>
      <c r="AP14" s="19">
        <f t="shared" si="20"/>
        <v>172.00000000000006</v>
      </c>
      <c r="AQ14" s="19">
        <f t="shared" si="21"/>
        <v>289.00000000000006</v>
      </c>
      <c r="AR14" s="47">
        <f t="shared" si="22"/>
        <v>-71.263000000000005</v>
      </c>
      <c r="AT14">
        <f t="shared" si="23"/>
        <v>0</v>
      </c>
    </row>
    <row r="15" spans="1:48">
      <c r="A15" s="30">
        <f t="shared" si="0"/>
        <v>45791</v>
      </c>
      <c r="B15" s="31">
        <v>45791</v>
      </c>
      <c r="C15" s="32" t="s">
        <v>159</v>
      </c>
      <c r="D15" s="33">
        <v>2.0833333333333301E-2</v>
      </c>
      <c r="E15" s="35">
        <f t="shared" si="10"/>
        <v>4.166666666666663E-2</v>
      </c>
      <c r="F15" s="34">
        <v>30</v>
      </c>
      <c r="G15" s="33">
        <v>0.125</v>
      </c>
      <c r="H15" s="36">
        <f t="shared" si="11"/>
        <v>120.00000000000006</v>
      </c>
      <c r="I15" s="37">
        <f t="shared" si="12"/>
        <v>0.12708333333333333</v>
      </c>
      <c r="J15" s="4">
        <v>5</v>
      </c>
      <c r="K15" s="7"/>
      <c r="L15" s="2">
        <v>4.791666666666667E-2</v>
      </c>
      <c r="M15" s="2">
        <v>6.8750000000000006E-2</v>
      </c>
      <c r="N15" s="83">
        <v>0.12361111111111112</v>
      </c>
      <c r="O15" s="45">
        <v>0.125</v>
      </c>
      <c r="P15" s="47">
        <v>0.57655999999999996</v>
      </c>
      <c r="Q15" t="s">
        <v>44</v>
      </c>
      <c r="R15" t="s">
        <v>45</v>
      </c>
      <c r="S15" t="s">
        <v>45</v>
      </c>
      <c r="T15" t="s">
        <v>45</v>
      </c>
      <c r="U15" s="7"/>
      <c r="V15" s="13">
        <f t="shared" si="13"/>
        <v>30.000000000000004</v>
      </c>
      <c r="W15" s="94">
        <f t="shared" si="13"/>
        <v>79</v>
      </c>
      <c r="X15" s="40">
        <f t="shared" si="14"/>
        <v>39.00000000000005</v>
      </c>
      <c r="Y15" s="4">
        <f t="shared" si="14"/>
        <v>39.000000000000064</v>
      </c>
      <c r="Z15" s="4">
        <f t="shared" si="1"/>
        <v>-1.9999999999999929</v>
      </c>
      <c r="AA15" s="4">
        <f t="shared" si="2"/>
        <v>-2</v>
      </c>
      <c r="AB15" s="4">
        <f t="shared" si="3"/>
        <v>0</v>
      </c>
      <c r="AC15" s="13">
        <f t="shared" si="4"/>
        <v>2</v>
      </c>
      <c r="AD15" s="15">
        <f t="shared" si="5"/>
        <v>41.000000000000043</v>
      </c>
      <c r="AG15" s="18">
        <v>0</v>
      </c>
      <c r="AH15" s="19">
        <f t="shared" si="6"/>
        <v>30</v>
      </c>
      <c r="AI15" s="19">
        <f t="shared" si="7"/>
        <v>150.00000000000006</v>
      </c>
      <c r="AJ15" s="20">
        <f t="shared" si="15"/>
        <v>29.00000000000005</v>
      </c>
      <c r="AK15" s="19">
        <f t="shared" si="16"/>
        <v>29.00000000000005</v>
      </c>
      <c r="AL15" s="19">
        <f t="shared" si="17"/>
        <v>69.000000000000057</v>
      </c>
      <c r="AM15" s="19">
        <f t="shared" si="18"/>
        <v>69.000000000000057</v>
      </c>
      <c r="AN15" s="19">
        <f t="shared" si="8"/>
        <v>148.00000000000006</v>
      </c>
      <c r="AO15" s="19">
        <f t="shared" si="19"/>
        <v>124.00000000000003</v>
      </c>
      <c r="AP15" s="19">
        <f t="shared" si="20"/>
        <v>150.00000000000006</v>
      </c>
      <c r="AQ15" s="19">
        <f t="shared" si="21"/>
        <v>291.00000000000006</v>
      </c>
      <c r="AR15" s="47">
        <f t="shared" si="22"/>
        <v>-71.171999999999997</v>
      </c>
    </row>
    <row r="16" spans="1:48">
      <c r="A16" s="30">
        <f t="shared" si="0"/>
        <v>45792</v>
      </c>
      <c r="B16" s="31">
        <v>45792</v>
      </c>
      <c r="C16" s="32" t="s">
        <v>159</v>
      </c>
      <c r="D16" s="33">
        <v>2.0833333333333301E-2</v>
      </c>
      <c r="E16" s="35">
        <f t="shared" si="10"/>
        <v>4.166666666666663E-2</v>
      </c>
      <c r="F16" s="34">
        <v>30</v>
      </c>
      <c r="G16" s="33">
        <v>0.125</v>
      </c>
      <c r="H16" s="36">
        <f t="shared" si="11"/>
        <v>120.00000000000006</v>
      </c>
      <c r="I16" s="37">
        <f t="shared" si="12"/>
        <v>0.14374999999999999</v>
      </c>
      <c r="J16" s="4">
        <v>5</v>
      </c>
      <c r="K16" s="7"/>
      <c r="L16" s="2">
        <v>5.4166666666666669E-2</v>
      </c>
      <c r="M16" s="2">
        <v>6.805555555555555E-2</v>
      </c>
      <c r="N16" s="83">
        <v>0.14027777777777778</v>
      </c>
      <c r="O16" s="45">
        <v>0.1423611111111111</v>
      </c>
      <c r="P16" s="47">
        <v>0.57669999999999999</v>
      </c>
      <c r="Q16" t="s">
        <v>44</v>
      </c>
      <c r="R16" t="s">
        <v>45</v>
      </c>
      <c r="S16" t="s">
        <v>45</v>
      </c>
      <c r="T16" t="s">
        <v>45</v>
      </c>
      <c r="U16" s="7"/>
      <c r="V16" s="13">
        <f t="shared" si="13"/>
        <v>19.999999999999989</v>
      </c>
      <c r="W16" s="94">
        <f t="shared" si="13"/>
        <v>104.00000000000001</v>
      </c>
      <c r="X16" s="40">
        <f t="shared" si="14"/>
        <v>48.00000000000005</v>
      </c>
      <c r="Y16" s="4">
        <f t="shared" si="14"/>
        <v>38.000000000000043</v>
      </c>
      <c r="Z16" s="4">
        <f t="shared" si="1"/>
        <v>22</v>
      </c>
      <c r="AA16" s="4">
        <f t="shared" si="2"/>
        <v>32.000000000000014</v>
      </c>
      <c r="AB16" s="4">
        <f t="shared" si="3"/>
        <v>24.999999999999993</v>
      </c>
      <c r="AC16" s="13">
        <f t="shared" si="4"/>
        <v>3</v>
      </c>
      <c r="AD16" s="15">
        <f t="shared" si="5"/>
        <v>26.00000000000005</v>
      </c>
      <c r="AG16" s="18">
        <v>0</v>
      </c>
      <c r="AH16" s="19">
        <f t="shared" si="6"/>
        <v>30</v>
      </c>
      <c r="AI16" s="19">
        <f t="shared" si="7"/>
        <v>150.00000000000006</v>
      </c>
      <c r="AJ16" s="20">
        <f t="shared" si="15"/>
        <v>38.00000000000005</v>
      </c>
      <c r="AK16" s="19">
        <f t="shared" si="16"/>
        <v>38.00000000000005</v>
      </c>
      <c r="AL16" s="19">
        <f t="shared" si="17"/>
        <v>68.000000000000043</v>
      </c>
      <c r="AM16" s="19">
        <f t="shared" si="18"/>
        <v>68.000000000000043</v>
      </c>
      <c r="AN16" s="19">
        <f>AM16+W16</f>
        <v>172.00000000000006</v>
      </c>
      <c r="AO16" s="19">
        <f t="shared" si="19"/>
        <v>136.00000000000003</v>
      </c>
      <c r="AP16" s="19">
        <f t="shared" si="20"/>
        <v>175.00000000000006</v>
      </c>
      <c r="AQ16" s="19">
        <f t="shared" si="21"/>
        <v>276.00000000000006</v>
      </c>
      <c r="AR16" s="47">
        <f t="shared" si="22"/>
        <v>-71.164999999999992</v>
      </c>
    </row>
    <row r="17" spans="1:46">
      <c r="A17" s="30">
        <f t="shared" si="0"/>
        <v>45793</v>
      </c>
      <c r="B17" s="31">
        <v>45793</v>
      </c>
      <c r="C17" s="32" t="s">
        <v>159</v>
      </c>
      <c r="D17" s="33">
        <v>2.0833333333333301E-2</v>
      </c>
      <c r="E17" s="35">
        <f t="shared" si="10"/>
        <v>4.166666666666663E-2</v>
      </c>
      <c r="F17" s="34">
        <v>30</v>
      </c>
      <c r="G17" s="33">
        <v>0.125</v>
      </c>
      <c r="H17" s="36">
        <f t="shared" si="11"/>
        <v>120.00000000000006</v>
      </c>
      <c r="I17" s="37">
        <f t="shared" si="12"/>
        <v>0.10555555555555556</v>
      </c>
      <c r="J17" s="4">
        <v>5</v>
      </c>
      <c r="K17" s="7"/>
      <c r="L17" s="2">
        <v>4.027777777777778E-2</v>
      </c>
      <c r="M17" s="2">
        <v>0.05</v>
      </c>
      <c r="N17" s="83">
        <v>0.10208333333333333</v>
      </c>
      <c r="O17" s="45">
        <v>0.10347222222222222</v>
      </c>
      <c r="P17" s="47">
        <v>0.57496000000000003</v>
      </c>
      <c r="Q17" t="s">
        <v>44</v>
      </c>
      <c r="R17" t="s">
        <v>45</v>
      </c>
      <c r="S17" t="s">
        <v>45</v>
      </c>
      <c r="T17" t="s">
        <v>45</v>
      </c>
      <c r="U17" s="7"/>
      <c r="V17" s="13">
        <f t="shared" si="13"/>
        <v>14</v>
      </c>
      <c r="W17" s="94">
        <f t="shared" si="13"/>
        <v>75</v>
      </c>
      <c r="X17" s="40">
        <f t="shared" si="14"/>
        <v>28.00000000000005</v>
      </c>
      <c r="Y17" s="4">
        <f t="shared" si="14"/>
        <v>12.000000000000057</v>
      </c>
      <c r="Z17" s="4">
        <f t="shared" si="1"/>
        <v>-33</v>
      </c>
      <c r="AA17" s="4">
        <f t="shared" si="2"/>
        <v>-17</v>
      </c>
      <c r="AB17" s="4">
        <f t="shared" si="3"/>
        <v>-31.000000000000011</v>
      </c>
      <c r="AC17" s="13">
        <f t="shared" si="4"/>
        <v>2</v>
      </c>
      <c r="AD17" s="15">
        <f t="shared" si="5"/>
        <v>61.00000000000005</v>
      </c>
      <c r="AG17" s="18">
        <v>0</v>
      </c>
      <c r="AH17" s="19">
        <f t="shared" si="6"/>
        <v>30</v>
      </c>
      <c r="AI17" s="19">
        <f t="shared" si="7"/>
        <v>150.00000000000006</v>
      </c>
      <c r="AJ17" s="20">
        <f t="shared" si="15"/>
        <v>18.00000000000005</v>
      </c>
      <c r="AK17" s="19">
        <f t="shared" si="16"/>
        <v>18.00000000000005</v>
      </c>
      <c r="AL17" s="19">
        <f t="shared" si="17"/>
        <v>42.000000000000057</v>
      </c>
      <c r="AM17" s="19">
        <f t="shared" si="18"/>
        <v>42.000000000000057</v>
      </c>
      <c r="AN17" s="19">
        <f>AM17+W17</f>
        <v>117.00000000000006</v>
      </c>
      <c r="AO17" s="19">
        <f t="shared" si="19"/>
        <v>108.50000000000003</v>
      </c>
      <c r="AP17" s="19">
        <f t="shared" si="20"/>
        <v>119.00000000000006</v>
      </c>
      <c r="AQ17" s="19">
        <f t="shared" si="21"/>
        <v>311.00000000000006</v>
      </c>
      <c r="AR17" s="47">
        <f t="shared" si="22"/>
        <v>-71.251999999999995</v>
      </c>
    </row>
    <row r="18" spans="1:46">
      <c r="A18" s="30">
        <f t="shared" si="0"/>
        <v>45794</v>
      </c>
      <c r="B18" s="31">
        <v>45794</v>
      </c>
      <c r="C18" s="32" t="s">
        <v>159</v>
      </c>
      <c r="D18" s="33">
        <v>2.0833333333333301E-2</v>
      </c>
      <c r="E18" s="35">
        <f t="shared" si="10"/>
        <v>4.166666666666663E-2</v>
      </c>
      <c r="F18" s="34">
        <v>30</v>
      </c>
      <c r="G18" s="33">
        <v>0.125</v>
      </c>
      <c r="H18" s="36">
        <f t="shared" si="11"/>
        <v>120.00000000000006</v>
      </c>
      <c r="I18" s="37">
        <f t="shared" si="12"/>
        <v>8.3333333333333329E-2</v>
      </c>
      <c r="J18" s="4">
        <v>5</v>
      </c>
      <c r="K18" s="7"/>
      <c r="L18" s="2">
        <v>2.361111111111111E-2</v>
      </c>
      <c r="M18" s="2">
        <v>3.3333333333333333E-2</v>
      </c>
      <c r="N18" s="83">
        <v>7.9861111111111105E-2</v>
      </c>
      <c r="O18" s="45">
        <v>8.1944444444444445E-2</v>
      </c>
      <c r="P18" s="47">
        <v>0.57484000000000002</v>
      </c>
      <c r="Q18" t="s">
        <v>45</v>
      </c>
      <c r="R18" t="s">
        <v>45</v>
      </c>
      <c r="S18" t="s">
        <v>45</v>
      </c>
      <c r="T18" t="s">
        <v>45</v>
      </c>
      <c r="U18" s="7"/>
      <c r="V18" s="13">
        <f t="shared" si="13"/>
        <v>14</v>
      </c>
      <c r="W18" s="95">
        <f t="shared" si="13"/>
        <v>66.999999999999986</v>
      </c>
      <c r="X18" s="40">
        <f t="shared" si="14"/>
        <v>4.0000000000000462</v>
      </c>
      <c r="Y18" s="4">
        <f t="shared" si="14"/>
        <v>-11.999999999999947</v>
      </c>
      <c r="Z18" s="4">
        <f t="shared" si="1"/>
        <v>-65.000000000000014</v>
      </c>
      <c r="AA18" s="4">
        <f t="shared" si="2"/>
        <v>-49.000000000000028</v>
      </c>
      <c r="AB18" s="4">
        <f t="shared" si="3"/>
        <v>-62</v>
      </c>
      <c r="AC18" s="13">
        <f t="shared" si="4"/>
        <v>3</v>
      </c>
      <c r="AD18" s="15">
        <f t="shared" si="5"/>
        <v>69.000000000000057</v>
      </c>
      <c r="AG18" s="18">
        <v>0</v>
      </c>
      <c r="AH18" s="19">
        <f t="shared" si="6"/>
        <v>30</v>
      </c>
      <c r="AI18" s="19">
        <f t="shared" si="7"/>
        <v>150.00000000000006</v>
      </c>
      <c r="AJ18" s="20">
        <f t="shared" si="15"/>
        <v>-5.9999999999999538</v>
      </c>
      <c r="AK18" s="19">
        <f t="shared" si="16"/>
        <v>-5.9999999999999538</v>
      </c>
      <c r="AL18" s="19">
        <f t="shared" si="17"/>
        <v>18.000000000000053</v>
      </c>
      <c r="AM18" s="19">
        <f t="shared" si="18"/>
        <v>18.000000000000053</v>
      </c>
      <c r="AN18" s="19">
        <f>AM18+W18</f>
        <v>85.000000000000043</v>
      </c>
      <c r="AO18" s="19">
        <f t="shared" si="19"/>
        <v>92.500000000000028</v>
      </c>
      <c r="AP18" s="19">
        <f t="shared" si="20"/>
        <v>88.000000000000043</v>
      </c>
      <c r="AQ18" s="19">
        <f t="shared" si="21"/>
        <v>319.00000000000006</v>
      </c>
      <c r="AR18" s="47">
        <f t="shared" si="22"/>
        <v>-71.257999999999996</v>
      </c>
      <c r="AT18">
        <f t="shared" si="23"/>
        <v>0</v>
      </c>
    </row>
    <row r="19" spans="1:46">
      <c r="A19" s="30">
        <f t="shared" si="0"/>
        <v>45795</v>
      </c>
      <c r="B19" s="31">
        <v>45795</v>
      </c>
      <c r="C19" s="32" t="s">
        <v>159</v>
      </c>
      <c r="D19" s="33">
        <v>2.0833333333333301E-2</v>
      </c>
      <c r="E19" s="35">
        <f t="shared" si="10"/>
        <v>4.166666666666663E-2</v>
      </c>
      <c r="F19" s="34">
        <v>30</v>
      </c>
      <c r="G19" s="33">
        <v>0.125</v>
      </c>
      <c r="H19" s="36">
        <f t="shared" si="11"/>
        <v>120.00000000000006</v>
      </c>
      <c r="I19" s="37">
        <f t="shared" si="12"/>
        <v>9.7222222222222224E-2</v>
      </c>
      <c r="J19" s="4">
        <v>5</v>
      </c>
      <c r="K19" s="7"/>
      <c r="L19" s="2">
        <v>2.9861111111111113E-2</v>
      </c>
      <c r="M19" s="2">
        <v>4.027777777777778E-2</v>
      </c>
      <c r="N19" s="83">
        <v>9.375E-2</v>
      </c>
      <c r="O19" s="45">
        <v>9.583333333333334E-2</v>
      </c>
      <c r="P19" s="47">
        <v>0.57445999999999997</v>
      </c>
      <c r="Q19" t="s">
        <v>44</v>
      </c>
      <c r="R19" t="s">
        <v>45</v>
      </c>
      <c r="S19" t="s">
        <v>45</v>
      </c>
      <c r="T19" t="s">
        <v>45</v>
      </c>
      <c r="U19" s="7"/>
      <c r="V19" s="13">
        <f t="shared" si="13"/>
        <v>15.000000000000002</v>
      </c>
      <c r="W19" s="94">
        <f t="shared" si="13"/>
        <v>77</v>
      </c>
      <c r="X19" s="40">
        <f t="shared" si="14"/>
        <v>13.000000000000048</v>
      </c>
      <c r="Y19" s="4">
        <f t="shared" si="14"/>
        <v>-1.9999999999999429</v>
      </c>
      <c r="Z19" s="4">
        <f t="shared" si="1"/>
        <v>-45</v>
      </c>
      <c r="AA19" s="4">
        <f t="shared" si="2"/>
        <v>-30.000000000000014</v>
      </c>
      <c r="AB19" s="4">
        <f t="shared" si="3"/>
        <v>-41.999999999999993</v>
      </c>
      <c r="AC19" s="13">
        <f t="shared" si="4"/>
        <v>3</v>
      </c>
      <c r="AD19" s="15">
        <f t="shared" si="5"/>
        <v>58.00000000000005</v>
      </c>
      <c r="AG19" s="18">
        <v>0</v>
      </c>
      <c r="AH19" s="19">
        <f t="shared" si="6"/>
        <v>30</v>
      </c>
      <c r="AI19" s="19">
        <f t="shared" si="7"/>
        <v>150.00000000000006</v>
      </c>
      <c r="AJ19" s="20">
        <f t="shared" si="15"/>
        <v>3.000000000000048</v>
      </c>
      <c r="AK19" s="19">
        <f t="shared" si="16"/>
        <v>3.000000000000048</v>
      </c>
      <c r="AL19" s="19">
        <f t="shared" si="17"/>
        <v>28.000000000000057</v>
      </c>
      <c r="AM19" s="19">
        <f t="shared" si="18"/>
        <v>28.000000000000057</v>
      </c>
      <c r="AN19" s="19">
        <f>AM19+W19</f>
        <v>105.00000000000006</v>
      </c>
      <c r="AO19" s="19">
        <f t="shared" si="19"/>
        <v>102.50000000000003</v>
      </c>
      <c r="AP19" s="19">
        <f t="shared" si="20"/>
        <v>108.00000000000006</v>
      </c>
      <c r="AQ19" s="19">
        <f t="shared" si="21"/>
        <v>308.00000000000006</v>
      </c>
      <c r="AR19" s="47">
        <f t="shared" si="22"/>
        <v>-71.277000000000001</v>
      </c>
    </row>
    <row r="20" spans="1:46">
      <c r="A20" s="30">
        <f t="shared" si="0"/>
        <v>45796</v>
      </c>
      <c r="B20" s="31">
        <v>45796</v>
      </c>
      <c r="C20" s="32" t="s">
        <v>159</v>
      </c>
      <c r="D20" s="33">
        <v>2.0833333333333301E-2</v>
      </c>
      <c r="E20" s="35">
        <f t="shared" si="10"/>
        <v>4.166666666666663E-2</v>
      </c>
      <c r="F20" s="34">
        <v>30</v>
      </c>
      <c r="G20" s="33">
        <v>0.125</v>
      </c>
      <c r="H20" s="36">
        <f t="shared" si="11"/>
        <v>120.00000000000006</v>
      </c>
      <c r="I20" s="37">
        <f t="shared" si="12"/>
        <v>9.2361111111111116E-2</v>
      </c>
      <c r="J20" s="4">
        <v>5</v>
      </c>
      <c r="K20" s="7"/>
      <c r="L20" s="2">
        <v>3.0555555555555555E-2</v>
      </c>
      <c r="M20" s="2">
        <v>4.1666666666666664E-2</v>
      </c>
      <c r="N20" s="83">
        <v>8.8888888888888892E-2</v>
      </c>
      <c r="O20" s="45">
        <v>9.166666666666666E-2</v>
      </c>
      <c r="P20" s="47">
        <v>0.57387999999999995</v>
      </c>
      <c r="Q20" t="s">
        <v>45</v>
      </c>
      <c r="R20" t="s">
        <v>45</v>
      </c>
      <c r="S20" t="s">
        <v>45</v>
      </c>
      <c r="T20" t="s">
        <v>45</v>
      </c>
      <c r="U20" s="7"/>
      <c r="V20" s="13">
        <f t="shared" si="13"/>
        <v>15.999999999999998</v>
      </c>
      <c r="W20" s="95">
        <f t="shared" si="13"/>
        <v>68.000000000000014</v>
      </c>
      <c r="X20" s="40">
        <f t="shared" si="14"/>
        <v>14.000000000000044</v>
      </c>
      <c r="Y20" s="4">
        <f t="shared" si="14"/>
        <v>4.9960036108132044E-14</v>
      </c>
      <c r="Z20" s="4">
        <f t="shared" si="1"/>
        <v>-51.999999999999993</v>
      </c>
      <c r="AA20" s="4">
        <f t="shared" si="2"/>
        <v>-38</v>
      </c>
      <c r="AB20" s="4">
        <f t="shared" si="3"/>
        <v>-48.000000000000007</v>
      </c>
      <c r="AC20" s="13">
        <f t="shared" si="4"/>
        <v>4</v>
      </c>
      <c r="AD20" s="15">
        <f t="shared" si="5"/>
        <v>66.000000000000043</v>
      </c>
      <c r="AG20" s="18">
        <v>0</v>
      </c>
      <c r="AH20" s="19">
        <f t="shared" si="6"/>
        <v>30</v>
      </c>
      <c r="AI20" s="19">
        <f t="shared" si="7"/>
        <v>150.00000000000006</v>
      </c>
      <c r="AJ20" s="20">
        <f t="shared" si="15"/>
        <v>4.0000000000000444</v>
      </c>
      <c r="AK20" s="19">
        <f>AJ20</f>
        <v>4.0000000000000444</v>
      </c>
      <c r="AL20" s="19">
        <f t="shared" si="17"/>
        <v>30.00000000000005</v>
      </c>
      <c r="AM20" s="19">
        <f t="shared" si="18"/>
        <v>30.00000000000005</v>
      </c>
      <c r="AN20" s="19">
        <f>AM20+W20</f>
        <v>98.000000000000057</v>
      </c>
      <c r="AO20" s="19">
        <f t="shared" si="19"/>
        <v>99.000000000000028</v>
      </c>
      <c r="AP20" s="19">
        <f t="shared" si="20"/>
        <v>102.00000000000006</v>
      </c>
      <c r="AQ20" s="19">
        <f t="shared" si="21"/>
        <v>316.00000000000006</v>
      </c>
      <c r="AR20" s="47">
        <f t="shared" si="22"/>
        <v>-71.306000000000012</v>
      </c>
      <c r="AS20">
        <f t="shared" si="9"/>
        <v>0</v>
      </c>
      <c r="AT20">
        <f t="shared" si="23"/>
        <v>0</v>
      </c>
    </row>
    <row r="21" spans="1:46">
      <c r="A21" s="30">
        <f t="shared" si="0"/>
        <v>45797</v>
      </c>
      <c r="B21" s="31">
        <v>45797</v>
      </c>
      <c r="C21" s="32" t="s">
        <v>159</v>
      </c>
      <c r="D21" s="33">
        <v>2.0833333333333301E-2</v>
      </c>
      <c r="E21" s="35">
        <f t="shared" si="10"/>
        <v>4.166666666666663E-2</v>
      </c>
      <c r="F21" s="34">
        <v>30</v>
      </c>
      <c r="G21" s="33">
        <v>0.125</v>
      </c>
      <c r="H21" s="36">
        <f t="shared" si="11"/>
        <v>120.00000000000006</v>
      </c>
      <c r="I21" s="37">
        <f t="shared" si="12"/>
        <v>8.819444444444445E-2</v>
      </c>
      <c r="J21" s="4">
        <v>5</v>
      </c>
      <c r="K21" s="7"/>
      <c r="L21" s="2">
        <v>2.9166666666666667E-2</v>
      </c>
      <c r="M21" s="2">
        <v>3.888888888888889E-2</v>
      </c>
      <c r="N21" s="83">
        <v>8.4722222222222227E-2</v>
      </c>
      <c r="O21" s="45">
        <v>8.6805555555555552E-2</v>
      </c>
      <c r="P21" s="47">
        <v>0.57377999999999996</v>
      </c>
      <c r="Q21" t="s">
        <v>45</v>
      </c>
      <c r="R21" t="s">
        <v>45</v>
      </c>
      <c r="S21" t="s">
        <v>45</v>
      </c>
      <c r="T21" t="s">
        <v>45</v>
      </c>
      <c r="U21" s="7"/>
      <c r="V21" s="13">
        <f t="shared" si="13"/>
        <v>14</v>
      </c>
      <c r="W21" s="95">
        <f t="shared" si="13"/>
        <v>66</v>
      </c>
      <c r="X21" s="40">
        <f t="shared" si="14"/>
        <v>12.000000000000048</v>
      </c>
      <c r="Y21" s="4">
        <f t="shared" si="14"/>
        <v>-3.9999999999999458</v>
      </c>
      <c r="Z21" s="4">
        <f t="shared" si="1"/>
        <v>-57.999999999999993</v>
      </c>
      <c r="AA21" s="4">
        <f t="shared" si="2"/>
        <v>-42.000000000000014</v>
      </c>
      <c r="AB21" s="4">
        <f t="shared" si="3"/>
        <v>-55.000000000000007</v>
      </c>
      <c r="AC21" s="13">
        <f t="shared" si="4"/>
        <v>3</v>
      </c>
      <c r="AD21" s="15">
        <f t="shared" si="5"/>
        <v>70.000000000000043</v>
      </c>
      <c r="AG21" s="18">
        <v>0</v>
      </c>
      <c r="AH21" s="19">
        <f t="shared" si="6"/>
        <v>30</v>
      </c>
      <c r="AI21" s="19">
        <f t="shared" si="7"/>
        <v>150.00000000000006</v>
      </c>
      <c r="AJ21" s="20">
        <f t="shared" si="15"/>
        <v>2.000000000000048</v>
      </c>
      <c r="AK21" s="19">
        <f t="shared" ref="AK21:AK32" si="25">AJ21</f>
        <v>2.000000000000048</v>
      </c>
      <c r="AL21" s="19">
        <f t="shared" si="17"/>
        <v>26.000000000000053</v>
      </c>
      <c r="AM21" s="19">
        <f t="shared" si="18"/>
        <v>26.000000000000053</v>
      </c>
      <c r="AN21" s="19">
        <f t="shared" ref="AN21:AN32" si="26">AM21+W21</f>
        <v>92.000000000000057</v>
      </c>
      <c r="AO21" s="19">
        <f t="shared" si="19"/>
        <v>96.000000000000028</v>
      </c>
      <c r="AP21" s="19">
        <f t="shared" si="20"/>
        <v>95.000000000000057</v>
      </c>
      <c r="AQ21" s="19">
        <f t="shared" si="21"/>
        <v>320.00000000000006</v>
      </c>
      <c r="AR21" s="47">
        <f t="shared" si="22"/>
        <v>-71.311000000000007</v>
      </c>
      <c r="AS21">
        <f t="shared" si="9"/>
        <v>0</v>
      </c>
    </row>
    <row r="22" spans="1:46">
      <c r="A22" s="30">
        <f t="shared" si="0"/>
        <v>45798</v>
      </c>
      <c r="B22" s="31">
        <v>45798</v>
      </c>
      <c r="C22" s="32" t="s">
        <v>159</v>
      </c>
      <c r="D22" s="33">
        <v>2.0833333333333301E-2</v>
      </c>
      <c r="E22" s="35">
        <f t="shared" si="10"/>
        <v>4.166666666666663E-2</v>
      </c>
      <c r="F22" s="34">
        <v>30</v>
      </c>
      <c r="G22" s="33">
        <v>0.125</v>
      </c>
      <c r="H22" s="36">
        <f t="shared" si="11"/>
        <v>120.00000000000006</v>
      </c>
      <c r="I22" s="37">
        <f t="shared" si="12"/>
        <v>0.12222222222222222</v>
      </c>
      <c r="J22" s="4">
        <v>5</v>
      </c>
      <c r="K22" s="7"/>
      <c r="L22" s="2">
        <v>4.9305555555555554E-2</v>
      </c>
      <c r="M22" s="2">
        <v>6.805555555555555E-2</v>
      </c>
      <c r="N22" s="83">
        <v>0.11874999999999999</v>
      </c>
      <c r="O22" s="45">
        <v>0.12222222222222222</v>
      </c>
      <c r="P22" s="47">
        <v>0.57521999999999995</v>
      </c>
      <c r="Q22" t="s">
        <v>44</v>
      </c>
      <c r="R22" t="s">
        <v>45</v>
      </c>
      <c r="S22" t="s">
        <v>45</v>
      </c>
      <c r="T22" t="s">
        <v>45</v>
      </c>
      <c r="U22" s="7"/>
      <c r="V22" s="13">
        <f t="shared" si="13"/>
        <v>26.999999999999993</v>
      </c>
      <c r="W22" s="94">
        <f t="shared" si="13"/>
        <v>73</v>
      </c>
      <c r="X22" s="40">
        <f t="shared" si="14"/>
        <v>41.000000000000043</v>
      </c>
      <c r="Y22" s="4">
        <f t="shared" si="14"/>
        <v>38.000000000000043</v>
      </c>
      <c r="Z22" s="4">
        <f t="shared" si="1"/>
        <v>-9.0000000000000071</v>
      </c>
      <c r="AA22" s="4">
        <f t="shared" si="2"/>
        <v>-6.0000000000000142</v>
      </c>
      <c r="AB22" s="4">
        <f t="shared" si="3"/>
        <v>-4.0000000000000053</v>
      </c>
      <c r="AC22" s="13">
        <f t="shared" si="4"/>
        <v>5</v>
      </c>
      <c r="AD22" s="15">
        <f t="shared" si="5"/>
        <v>50.00000000000005</v>
      </c>
      <c r="AG22" s="18">
        <v>0</v>
      </c>
      <c r="AH22" s="19">
        <f t="shared" si="6"/>
        <v>30</v>
      </c>
      <c r="AI22" s="19">
        <f t="shared" si="7"/>
        <v>150.00000000000006</v>
      </c>
      <c r="AJ22" s="20">
        <f t="shared" si="15"/>
        <v>31.000000000000043</v>
      </c>
      <c r="AK22" s="19">
        <f t="shared" si="25"/>
        <v>31.000000000000043</v>
      </c>
      <c r="AL22" s="19">
        <f t="shared" si="17"/>
        <v>68.000000000000043</v>
      </c>
      <c r="AM22" s="19">
        <f t="shared" si="18"/>
        <v>68.000000000000043</v>
      </c>
      <c r="AN22" s="19">
        <f t="shared" si="26"/>
        <v>141.00000000000006</v>
      </c>
      <c r="AO22" s="19">
        <f t="shared" si="19"/>
        <v>120.50000000000003</v>
      </c>
      <c r="AP22" s="19">
        <f t="shared" si="20"/>
        <v>146.00000000000006</v>
      </c>
      <c r="AQ22" s="19">
        <f t="shared" si="21"/>
        <v>300.00000000000006</v>
      </c>
      <c r="AR22" s="47">
        <f t="shared" si="22"/>
        <v>-71.239000000000004</v>
      </c>
      <c r="AS22">
        <f t="shared" si="9"/>
        <v>-225</v>
      </c>
    </row>
    <row r="23" spans="1:46">
      <c r="A23" s="30">
        <f t="shared" si="0"/>
        <v>45799</v>
      </c>
      <c r="B23" s="31">
        <v>45799</v>
      </c>
      <c r="C23" s="32" t="s">
        <v>159</v>
      </c>
      <c r="D23" s="33">
        <v>2.0833333333333301E-2</v>
      </c>
      <c r="E23" s="35">
        <f t="shared" si="10"/>
        <v>4.166666666666663E-2</v>
      </c>
      <c r="F23" s="34">
        <v>30</v>
      </c>
      <c r="G23" s="33">
        <v>0.125</v>
      </c>
      <c r="H23" s="36">
        <f t="shared" si="11"/>
        <v>120.00000000000006</v>
      </c>
      <c r="I23" s="37">
        <f t="shared" si="12"/>
        <v>0.11180555555555556</v>
      </c>
      <c r="J23" s="4">
        <v>5</v>
      </c>
      <c r="K23" s="7"/>
      <c r="L23" s="2">
        <v>3.3333333333333333E-2</v>
      </c>
      <c r="M23" s="2">
        <v>5.9027777777777776E-2</v>
      </c>
      <c r="N23" s="83">
        <v>0.10833333333333334</v>
      </c>
      <c r="O23" s="45">
        <v>0.1111111111111111</v>
      </c>
      <c r="P23" s="47">
        <v>0.57543</v>
      </c>
      <c r="Q23" t="s">
        <v>44</v>
      </c>
      <c r="R23" t="s">
        <v>45</v>
      </c>
      <c r="S23" t="s">
        <v>45</v>
      </c>
      <c r="T23" t="s">
        <v>45</v>
      </c>
      <c r="U23" s="7"/>
      <c r="V23" s="13">
        <f t="shared" si="13"/>
        <v>37</v>
      </c>
      <c r="W23" s="94">
        <f t="shared" si="13"/>
        <v>71.000000000000014</v>
      </c>
      <c r="X23" s="40">
        <f t="shared" si="14"/>
        <v>18.000000000000046</v>
      </c>
      <c r="Y23" s="4">
        <f t="shared" si="14"/>
        <v>25.00000000000005</v>
      </c>
      <c r="Z23" s="4">
        <f t="shared" si="1"/>
        <v>-23.999999999999993</v>
      </c>
      <c r="AA23" s="4">
        <f t="shared" si="2"/>
        <v>-31</v>
      </c>
      <c r="AB23" s="4">
        <f t="shared" si="3"/>
        <v>-20.000000000000007</v>
      </c>
      <c r="AC23" s="13">
        <f t="shared" si="4"/>
        <v>4</v>
      </c>
      <c r="AD23" s="15">
        <f t="shared" si="5"/>
        <v>42.000000000000043</v>
      </c>
      <c r="AG23" s="18">
        <v>0</v>
      </c>
      <c r="AH23" s="19">
        <f t="shared" si="6"/>
        <v>30</v>
      </c>
      <c r="AI23" s="19">
        <f t="shared" si="7"/>
        <v>150.00000000000006</v>
      </c>
      <c r="AJ23" s="20">
        <f t="shared" si="15"/>
        <v>8.0000000000000462</v>
      </c>
      <c r="AK23" s="19">
        <f t="shared" si="25"/>
        <v>8.0000000000000462</v>
      </c>
      <c r="AL23" s="19">
        <f t="shared" si="17"/>
        <v>55.00000000000005</v>
      </c>
      <c r="AM23" s="19">
        <f t="shared" si="18"/>
        <v>55.00000000000005</v>
      </c>
      <c r="AN23" s="19">
        <f t="shared" si="26"/>
        <v>126.00000000000006</v>
      </c>
      <c r="AO23" s="19">
        <f t="shared" si="19"/>
        <v>113.00000000000003</v>
      </c>
      <c r="AP23" s="19">
        <f t="shared" si="20"/>
        <v>130.00000000000006</v>
      </c>
      <c r="AQ23" s="19">
        <f t="shared" si="21"/>
        <v>292.00000000000006</v>
      </c>
      <c r="AR23" s="47">
        <f t="shared" si="22"/>
        <v>-71.228499999999997</v>
      </c>
      <c r="AS23">
        <f t="shared" si="9"/>
        <v>-225</v>
      </c>
    </row>
    <row r="24" spans="1:46">
      <c r="A24" s="30">
        <f t="shared" si="0"/>
        <v>45800</v>
      </c>
      <c r="B24" s="31">
        <v>45800</v>
      </c>
      <c r="C24" s="32" t="s">
        <v>159</v>
      </c>
      <c r="D24" s="33">
        <v>2.0833333333333301E-2</v>
      </c>
      <c r="E24" s="35">
        <f t="shared" si="10"/>
        <v>4.166666666666663E-2</v>
      </c>
      <c r="F24" s="34">
        <v>30</v>
      </c>
      <c r="G24" s="33">
        <v>0.125</v>
      </c>
      <c r="H24" s="36">
        <f t="shared" si="11"/>
        <v>120.00000000000006</v>
      </c>
      <c r="I24" s="37">
        <f t="shared" si="12"/>
        <v>0.1</v>
      </c>
      <c r="J24" s="4">
        <v>5</v>
      </c>
      <c r="K24" s="7"/>
      <c r="L24" s="2">
        <v>3.6111111111111108E-2</v>
      </c>
      <c r="M24" s="2">
        <v>4.6527777777777779E-2</v>
      </c>
      <c r="N24" s="83">
        <v>9.6527777777777782E-2</v>
      </c>
      <c r="O24" s="45">
        <v>9.8611111111111108E-2</v>
      </c>
      <c r="P24" s="47">
        <v>0.57372000000000001</v>
      </c>
      <c r="Q24" t="s">
        <v>44</v>
      </c>
      <c r="R24" t="s">
        <v>45</v>
      </c>
      <c r="S24" t="s">
        <v>45</v>
      </c>
      <c r="T24" t="s">
        <v>45</v>
      </c>
      <c r="U24" s="7"/>
      <c r="V24" s="13">
        <f t="shared" si="13"/>
        <v>15.000000000000007</v>
      </c>
      <c r="W24" s="94">
        <f t="shared" si="13"/>
        <v>72</v>
      </c>
      <c r="X24" s="40">
        <f t="shared" si="14"/>
        <v>22.000000000000043</v>
      </c>
      <c r="Y24" s="4">
        <f t="shared" si="14"/>
        <v>7.0000000000000551</v>
      </c>
      <c r="Z24" s="4">
        <f t="shared" si="1"/>
        <v>-40.999999999999993</v>
      </c>
      <c r="AA24" s="4">
        <f t="shared" si="2"/>
        <v>-26.000000000000014</v>
      </c>
      <c r="AB24" s="4">
        <f t="shared" si="3"/>
        <v>-38.000000000000007</v>
      </c>
      <c r="AC24" s="13">
        <f t="shared" si="4"/>
        <v>3</v>
      </c>
      <c r="AD24" s="15">
        <f t="shared" si="5"/>
        <v>63.000000000000036</v>
      </c>
      <c r="AG24" s="18">
        <v>0</v>
      </c>
      <c r="AH24" s="19">
        <f t="shared" si="6"/>
        <v>30</v>
      </c>
      <c r="AI24" s="19">
        <f t="shared" si="7"/>
        <v>150.00000000000006</v>
      </c>
      <c r="AJ24" s="20">
        <f t="shared" si="15"/>
        <v>12.000000000000043</v>
      </c>
      <c r="AK24" s="19">
        <f t="shared" si="25"/>
        <v>12.000000000000043</v>
      </c>
      <c r="AL24" s="19">
        <f t="shared" si="17"/>
        <v>37.000000000000057</v>
      </c>
      <c r="AM24" s="19">
        <f t="shared" si="18"/>
        <v>37.000000000000057</v>
      </c>
      <c r="AN24" s="19">
        <f t="shared" si="26"/>
        <v>109.00000000000006</v>
      </c>
      <c r="AO24" s="19">
        <f t="shared" si="19"/>
        <v>104.50000000000003</v>
      </c>
      <c r="AP24" s="19">
        <f t="shared" si="20"/>
        <v>112.00000000000006</v>
      </c>
      <c r="AQ24" s="19">
        <f t="shared" si="21"/>
        <v>313.00000000000006</v>
      </c>
      <c r="AR24" s="47">
        <f t="shared" si="22"/>
        <v>-71.313999999999993</v>
      </c>
      <c r="AS24">
        <f t="shared" si="9"/>
        <v>-225</v>
      </c>
    </row>
    <row r="25" spans="1:46">
      <c r="A25" s="30">
        <f t="shared" si="0"/>
        <v>45801</v>
      </c>
      <c r="B25" s="31">
        <v>45801</v>
      </c>
      <c r="C25" s="32" t="s">
        <v>159</v>
      </c>
      <c r="D25" s="33">
        <v>2.0833333333333301E-2</v>
      </c>
      <c r="E25" s="35">
        <f t="shared" si="10"/>
        <v>4.166666666666663E-2</v>
      </c>
      <c r="F25" s="34">
        <v>30</v>
      </c>
      <c r="G25" s="33">
        <v>0.125</v>
      </c>
      <c r="H25" s="36">
        <f t="shared" si="11"/>
        <v>120.00000000000006</v>
      </c>
      <c r="I25" s="37">
        <f t="shared" si="12"/>
        <v>9.7916666666666666E-2</v>
      </c>
      <c r="J25" s="4">
        <v>5</v>
      </c>
      <c r="K25" s="7"/>
      <c r="L25" s="2">
        <v>4.1666666666666664E-2</v>
      </c>
      <c r="M25" s="2">
        <v>0.05</v>
      </c>
      <c r="N25" s="83">
        <v>9.4444444444444442E-2</v>
      </c>
      <c r="O25" s="45">
        <v>9.583333333333334E-2</v>
      </c>
      <c r="P25" s="47">
        <v>0.57367999999999997</v>
      </c>
      <c r="Q25" t="s">
        <v>45</v>
      </c>
      <c r="R25" t="s">
        <v>45</v>
      </c>
      <c r="S25" t="s">
        <v>45</v>
      </c>
      <c r="T25" t="s">
        <v>45</v>
      </c>
      <c r="U25" s="7"/>
      <c r="V25" s="13">
        <f t="shared" si="13"/>
        <v>12.000000000000007</v>
      </c>
      <c r="W25" s="95">
        <f t="shared" si="13"/>
        <v>63.999999999999993</v>
      </c>
      <c r="X25" s="40">
        <f t="shared" si="14"/>
        <v>30.000000000000043</v>
      </c>
      <c r="Y25" s="4">
        <f t="shared" si="14"/>
        <v>12.000000000000057</v>
      </c>
      <c r="Z25" s="4">
        <f t="shared" si="1"/>
        <v>-44</v>
      </c>
      <c r="AA25" s="4">
        <f t="shared" si="2"/>
        <v>-26.000000000000021</v>
      </c>
      <c r="AB25" s="4">
        <f t="shared" si="3"/>
        <v>-41.999999999999993</v>
      </c>
      <c r="AC25" s="13">
        <f t="shared" si="4"/>
        <v>2</v>
      </c>
      <c r="AD25" s="15">
        <f t="shared" si="5"/>
        <v>74.000000000000043</v>
      </c>
      <c r="AG25" s="18">
        <v>0</v>
      </c>
      <c r="AH25" s="19">
        <f t="shared" si="6"/>
        <v>30</v>
      </c>
      <c r="AI25" s="19">
        <f t="shared" si="7"/>
        <v>150.00000000000006</v>
      </c>
      <c r="AJ25" s="20">
        <f t="shared" si="15"/>
        <v>20.000000000000043</v>
      </c>
      <c r="AK25" s="19">
        <f t="shared" si="25"/>
        <v>20.000000000000043</v>
      </c>
      <c r="AL25" s="19">
        <f t="shared" si="17"/>
        <v>42.000000000000057</v>
      </c>
      <c r="AM25" s="19">
        <f t="shared" si="18"/>
        <v>42.000000000000057</v>
      </c>
      <c r="AN25" s="19">
        <f t="shared" si="26"/>
        <v>106.00000000000006</v>
      </c>
      <c r="AO25" s="19">
        <f t="shared" si="19"/>
        <v>103.00000000000003</v>
      </c>
      <c r="AP25" s="19">
        <f t="shared" si="20"/>
        <v>108.00000000000006</v>
      </c>
      <c r="AQ25" s="19">
        <f t="shared" si="21"/>
        <v>324.00000000000006</v>
      </c>
      <c r="AR25" s="47">
        <f t="shared" si="22"/>
        <v>-71.316000000000003</v>
      </c>
    </row>
    <row r="26" spans="1:46">
      <c r="A26" s="30">
        <f t="shared" si="0"/>
        <v>45802</v>
      </c>
      <c r="B26" s="31">
        <v>45802</v>
      </c>
      <c r="C26" s="32" t="s">
        <v>159</v>
      </c>
      <c r="D26" s="33">
        <v>2.0833333333333301E-2</v>
      </c>
      <c r="E26" s="35">
        <f t="shared" si="10"/>
        <v>4.166666666666663E-2</v>
      </c>
      <c r="F26" s="34">
        <v>30</v>
      </c>
      <c r="G26" s="33">
        <v>0.125</v>
      </c>
      <c r="H26" s="36">
        <f t="shared" si="11"/>
        <v>120.00000000000006</v>
      </c>
      <c r="I26" s="37">
        <f t="shared" si="12"/>
        <v>0.11458333333333333</v>
      </c>
      <c r="J26" s="4">
        <v>5</v>
      </c>
      <c r="K26" s="7"/>
      <c r="L26" s="2">
        <v>2.9166666666666667E-2</v>
      </c>
      <c r="M26" s="2">
        <v>6.5277777777777782E-2</v>
      </c>
      <c r="N26" s="83">
        <v>0.1111111111111111</v>
      </c>
      <c r="O26" s="45">
        <v>0.1125</v>
      </c>
      <c r="P26" s="47">
        <v>0.57362000000000002</v>
      </c>
      <c r="Q26" t="s">
        <v>45</v>
      </c>
      <c r="R26" t="s">
        <v>45</v>
      </c>
      <c r="S26" t="s">
        <v>45</v>
      </c>
      <c r="T26" t="s">
        <v>45</v>
      </c>
      <c r="U26" s="7"/>
      <c r="V26" s="13">
        <f t="shared" si="13"/>
        <v>52.000000000000007</v>
      </c>
      <c r="W26" s="95">
        <f t="shared" si="13"/>
        <v>65.999999999999986</v>
      </c>
      <c r="X26" s="40">
        <f t="shared" si="14"/>
        <v>12.000000000000048</v>
      </c>
      <c r="Y26" s="4">
        <f t="shared" si="14"/>
        <v>34.000000000000057</v>
      </c>
      <c r="Z26" s="4">
        <f t="shared" si="1"/>
        <v>-20.000000000000007</v>
      </c>
      <c r="AA26" s="4">
        <f t="shared" si="2"/>
        <v>-42.000000000000028</v>
      </c>
      <c r="AB26" s="4">
        <f t="shared" si="3"/>
        <v>-17.999999999999996</v>
      </c>
      <c r="AC26" s="13">
        <f t="shared" si="4"/>
        <v>2</v>
      </c>
      <c r="AD26" s="15">
        <f t="shared" si="5"/>
        <v>32.000000000000057</v>
      </c>
      <c r="AG26" s="18">
        <v>0</v>
      </c>
      <c r="AH26" s="19">
        <f t="shared" si="6"/>
        <v>30</v>
      </c>
      <c r="AI26" s="19">
        <f t="shared" si="7"/>
        <v>150.00000000000006</v>
      </c>
      <c r="AJ26" s="20">
        <f t="shared" si="15"/>
        <v>2.000000000000048</v>
      </c>
      <c r="AK26" s="19">
        <f t="shared" si="25"/>
        <v>2.000000000000048</v>
      </c>
      <c r="AL26" s="19">
        <f t="shared" si="17"/>
        <v>64.000000000000057</v>
      </c>
      <c r="AM26" s="19">
        <f t="shared" si="18"/>
        <v>64.000000000000057</v>
      </c>
      <c r="AN26" s="19">
        <f t="shared" si="26"/>
        <v>130.00000000000006</v>
      </c>
      <c r="AO26" s="19">
        <f t="shared" si="19"/>
        <v>115.00000000000003</v>
      </c>
      <c r="AP26" s="19">
        <f t="shared" si="20"/>
        <v>132.00000000000006</v>
      </c>
      <c r="AQ26" s="19">
        <f t="shared" si="21"/>
        <v>282.00000000000006</v>
      </c>
      <c r="AR26" s="47">
        <f t="shared" si="22"/>
        <v>-71.319000000000003</v>
      </c>
    </row>
    <row r="27" spans="1:46">
      <c r="A27" s="30">
        <f t="shared" si="0"/>
        <v>45803</v>
      </c>
      <c r="B27" s="31">
        <v>45803</v>
      </c>
      <c r="C27" s="32" t="s">
        <v>159</v>
      </c>
      <c r="D27" s="33">
        <v>2.0833333333333301E-2</v>
      </c>
      <c r="E27" s="35">
        <f t="shared" si="10"/>
        <v>4.166666666666663E-2</v>
      </c>
      <c r="F27" s="34">
        <v>30</v>
      </c>
      <c r="G27" s="33">
        <v>0.125</v>
      </c>
      <c r="H27" s="36">
        <f t="shared" si="11"/>
        <v>120.00000000000006</v>
      </c>
      <c r="I27" s="37">
        <f t="shared" si="12"/>
        <v>0.11319444444444444</v>
      </c>
      <c r="J27" s="4">
        <v>5</v>
      </c>
      <c r="K27" s="7"/>
      <c r="L27" s="2">
        <v>4.8611111111111112E-2</v>
      </c>
      <c r="M27" s="2">
        <v>6.5277777777777782E-2</v>
      </c>
      <c r="N27" s="83">
        <v>0.10972222222222222</v>
      </c>
      <c r="O27" s="45">
        <v>0.1111111111111111</v>
      </c>
      <c r="P27" s="47">
        <v>0.57328000000000001</v>
      </c>
      <c r="Q27" t="s">
        <v>45</v>
      </c>
      <c r="R27" t="s">
        <v>45</v>
      </c>
      <c r="S27" t="s">
        <v>45</v>
      </c>
      <c r="T27" t="s">
        <v>45</v>
      </c>
      <c r="U27" s="7"/>
      <c r="V27" s="13">
        <f t="shared" si="13"/>
        <v>24.000000000000004</v>
      </c>
      <c r="W27" s="95">
        <f t="shared" si="13"/>
        <v>63.999999999999993</v>
      </c>
      <c r="X27" s="40">
        <f t="shared" si="14"/>
        <v>40.00000000000005</v>
      </c>
      <c r="Y27" s="4">
        <f t="shared" si="14"/>
        <v>34.000000000000057</v>
      </c>
      <c r="Z27" s="4">
        <f t="shared" si="1"/>
        <v>-22</v>
      </c>
      <c r="AA27" s="4">
        <f t="shared" si="2"/>
        <v>-16.000000000000007</v>
      </c>
      <c r="AB27" s="4">
        <f t="shared" si="3"/>
        <v>-20.000000000000007</v>
      </c>
      <c r="AC27" s="13">
        <f t="shared" si="4"/>
        <v>2</v>
      </c>
      <c r="AD27" s="15">
        <f t="shared" si="5"/>
        <v>62.00000000000005</v>
      </c>
      <c r="AG27" s="18">
        <v>0</v>
      </c>
      <c r="AH27" s="19">
        <f t="shared" si="6"/>
        <v>30</v>
      </c>
      <c r="AI27" s="19">
        <f t="shared" si="7"/>
        <v>150.00000000000006</v>
      </c>
      <c r="AJ27" s="20">
        <f t="shared" si="15"/>
        <v>30.00000000000005</v>
      </c>
      <c r="AK27" s="19">
        <f t="shared" si="25"/>
        <v>30.00000000000005</v>
      </c>
      <c r="AL27" s="19">
        <f t="shared" si="17"/>
        <v>64.000000000000057</v>
      </c>
      <c r="AM27" s="19">
        <f t="shared" si="18"/>
        <v>64.000000000000057</v>
      </c>
      <c r="AN27" s="19">
        <f t="shared" si="26"/>
        <v>128.00000000000006</v>
      </c>
      <c r="AO27" s="19">
        <f t="shared" si="19"/>
        <v>114.00000000000003</v>
      </c>
      <c r="AP27" s="19">
        <f t="shared" si="20"/>
        <v>130.00000000000006</v>
      </c>
      <c r="AQ27" s="19">
        <f t="shared" si="21"/>
        <v>312.00000000000006</v>
      </c>
      <c r="AR27" s="47">
        <f t="shared" si="22"/>
        <v>-71.335999999999999</v>
      </c>
      <c r="AS27">
        <f t="shared" si="9"/>
        <v>0</v>
      </c>
    </row>
    <row r="28" spans="1:46">
      <c r="A28" s="30">
        <f t="shared" si="0"/>
        <v>45804</v>
      </c>
      <c r="B28" s="31">
        <v>45804</v>
      </c>
      <c r="C28" s="32" t="s">
        <v>159</v>
      </c>
      <c r="D28" s="33">
        <v>2.0833333333333301E-2</v>
      </c>
      <c r="E28" s="35">
        <f t="shared" si="10"/>
        <v>4.166666666666663E-2</v>
      </c>
      <c r="F28" s="34">
        <v>30</v>
      </c>
      <c r="G28" s="33">
        <v>0.125</v>
      </c>
      <c r="H28" s="36">
        <f t="shared" si="11"/>
        <v>120.00000000000006</v>
      </c>
      <c r="I28" s="37">
        <f t="shared" si="12"/>
        <v>0.11458333333333333</v>
      </c>
      <c r="J28" s="4">
        <v>5</v>
      </c>
      <c r="K28" s="7"/>
      <c r="L28" s="2">
        <v>3.1944444444444442E-2</v>
      </c>
      <c r="M28" s="2">
        <v>6.6666666666666666E-2</v>
      </c>
      <c r="N28" s="83">
        <v>0.1111111111111111</v>
      </c>
      <c r="O28" s="45">
        <v>0.11319444444444444</v>
      </c>
      <c r="P28" s="47">
        <v>0.57306000000000001</v>
      </c>
      <c r="Q28" t="s">
        <v>45</v>
      </c>
      <c r="R28" t="s">
        <v>45</v>
      </c>
      <c r="S28" t="s">
        <v>45</v>
      </c>
      <c r="T28" t="s">
        <v>45</v>
      </c>
      <c r="U28" s="7"/>
      <c r="V28" s="13">
        <f t="shared" si="13"/>
        <v>50</v>
      </c>
      <c r="W28" s="95">
        <f t="shared" si="13"/>
        <v>63.999999999999993</v>
      </c>
      <c r="X28" s="40">
        <f t="shared" si="14"/>
        <v>16.000000000000043</v>
      </c>
      <c r="Y28" s="4">
        <f t="shared" si="14"/>
        <v>36.00000000000005</v>
      </c>
      <c r="Z28" s="4">
        <f t="shared" si="1"/>
        <v>-20.000000000000007</v>
      </c>
      <c r="AA28" s="4">
        <f t="shared" si="2"/>
        <v>-40.000000000000021</v>
      </c>
      <c r="AB28" s="4">
        <f t="shared" si="3"/>
        <v>-17</v>
      </c>
      <c r="AC28" s="13">
        <f t="shared" si="4"/>
        <v>3</v>
      </c>
      <c r="AD28" s="15">
        <f t="shared" si="5"/>
        <v>36.00000000000005</v>
      </c>
      <c r="AG28" s="18">
        <v>0</v>
      </c>
      <c r="AH28" s="19">
        <f t="shared" si="6"/>
        <v>30</v>
      </c>
      <c r="AI28" s="19">
        <f t="shared" si="7"/>
        <v>150.00000000000006</v>
      </c>
      <c r="AJ28" s="20">
        <f t="shared" si="15"/>
        <v>6.0000000000000426</v>
      </c>
      <c r="AK28" s="19">
        <f t="shared" si="25"/>
        <v>6.0000000000000426</v>
      </c>
      <c r="AL28" s="19">
        <f t="shared" si="17"/>
        <v>66.000000000000057</v>
      </c>
      <c r="AM28" s="19">
        <f t="shared" si="18"/>
        <v>66.000000000000057</v>
      </c>
      <c r="AN28" s="19">
        <f t="shared" si="26"/>
        <v>130.00000000000006</v>
      </c>
      <c r="AO28" s="19">
        <f t="shared" si="19"/>
        <v>115.00000000000003</v>
      </c>
      <c r="AP28" s="19">
        <f t="shared" si="20"/>
        <v>133.00000000000006</v>
      </c>
      <c r="AQ28" s="19">
        <f t="shared" si="21"/>
        <v>286.00000000000006</v>
      </c>
      <c r="AR28" s="47">
        <f t="shared" si="22"/>
        <v>-71.346999999999994</v>
      </c>
    </row>
    <row r="29" spans="1:46">
      <c r="A29" s="30">
        <f t="shared" si="0"/>
        <v>45805</v>
      </c>
      <c r="B29" s="31">
        <v>45805</v>
      </c>
      <c r="C29" s="32" t="s">
        <v>159</v>
      </c>
      <c r="D29" s="33">
        <v>2.0833333333333301E-2</v>
      </c>
      <c r="E29" s="35">
        <f t="shared" si="10"/>
        <v>4.166666666666663E-2</v>
      </c>
      <c r="F29" s="34">
        <v>30</v>
      </c>
      <c r="G29" s="33">
        <v>0.125</v>
      </c>
      <c r="H29" s="36">
        <f t="shared" si="11"/>
        <v>120.00000000000006</v>
      </c>
      <c r="I29" s="37">
        <f t="shared" si="12"/>
        <v>0.12430555555555556</v>
      </c>
      <c r="J29" s="4">
        <v>5</v>
      </c>
      <c r="K29" s="7"/>
      <c r="L29" s="2">
        <v>5.347222222222222E-2</v>
      </c>
      <c r="M29" s="2">
        <v>6.7361111111111108E-2</v>
      </c>
      <c r="N29" s="83">
        <v>0.12083333333333333</v>
      </c>
      <c r="O29" s="45">
        <v>0.12222222222222222</v>
      </c>
      <c r="P29" s="47">
        <v>0.57465999999999995</v>
      </c>
      <c r="Q29" t="s">
        <v>44</v>
      </c>
      <c r="R29" t="s">
        <v>45</v>
      </c>
      <c r="S29" t="s">
        <v>45</v>
      </c>
      <c r="T29" t="s">
        <v>45</v>
      </c>
      <c r="U29" s="7"/>
      <c r="V29" s="13">
        <f t="shared" si="13"/>
        <v>20</v>
      </c>
      <c r="W29" s="94">
        <f t="shared" si="13"/>
        <v>77</v>
      </c>
      <c r="X29" s="40">
        <f t="shared" si="14"/>
        <v>47.000000000000043</v>
      </c>
      <c r="Y29" s="4">
        <f t="shared" si="14"/>
        <v>37.00000000000005</v>
      </c>
      <c r="Z29" s="4">
        <f t="shared" si="1"/>
        <v>-5.9999999999999982</v>
      </c>
      <c r="AA29" s="4">
        <f t="shared" si="2"/>
        <v>3.9999999999999858</v>
      </c>
      <c r="AB29" s="4">
        <f t="shared" si="3"/>
        <v>-4.0000000000000053</v>
      </c>
      <c r="AC29" s="13">
        <f t="shared" si="4"/>
        <v>2</v>
      </c>
      <c r="AD29" s="15">
        <f t="shared" si="5"/>
        <v>53.000000000000043</v>
      </c>
      <c r="AG29" s="18">
        <v>0</v>
      </c>
      <c r="AH29" s="19">
        <f t="shared" si="6"/>
        <v>30</v>
      </c>
      <c r="AI29" s="19">
        <f t="shared" si="7"/>
        <v>150.00000000000006</v>
      </c>
      <c r="AJ29" s="20">
        <f t="shared" si="15"/>
        <v>37.000000000000043</v>
      </c>
      <c r="AK29" s="19">
        <f t="shared" si="25"/>
        <v>37.000000000000043</v>
      </c>
      <c r="AL29" s="19">
        <f t="shared" si="17"/>
        <v>67.000000000000057</v>
      </c>
      <c r="AM29" s="19">
        <f t="shared" si="18"/>
        <v>67.000000000000057</v>
      </c>
      <c r="AN29" s="19">
        <f t="shared" si="26"/>
        <v>144.00000000000006</v>
      </c>
      <c r="AO29" s="19">
        <f t="shared" si="19"/>
        <v>122.00000000000003</v>
      </c>
      <c r="AP29" s="19">
        <f t="shared" si="20"/>
        <v>146.00000000000006</v>
      </c>
      <c r="AQ29" s="19">
        <f t="shared" si="21"/>
        <v>303.00000000000006</v>
      </c>
      <c r="AR29" s="47">
        <f t="shared" si="22"/>
        <v>-71.266999999999996</v>
      </c>
      <c r="AT29">
        <f t="shared" ref="AT29" si="27">IF(R29="Yes",-210,0)</f>
        <v>0</v>
      </c>
    </row>
    <row r="30" spans="1:46">
      <c r="A30" s="30">
        <f t="shared" si="0"/>
        <v>45806</v>
      </c>
      <c r="B30" s="31">
        <v>45806</v>
      </c>
      <c r="C30" s="32" t="s">
        <v>159</v>
      </c>
      <c r="D30" s="33">
        <v>2.0833333333333301E-2</v>
      </c>
      <c r="E30" s="35">
        <f t="shared" si="10"/>
        <v>4.166666666666663E-2</v>
      </c>
      <c r="F30" s="34">
        <v>30</v>
      </c>
      <c r="G30" s="33">
        <v>0.125</v>
      </c>
      <c r="H30" s="36">
        <f t="shared" si="11"/>
        <v>120.00000000000006</v>
      </c>
      <c r="I30" s="37">
        <f t="shared" si="12"/>
        <v>0.10625</v>
      </c>
      <c r="J30" s="4">
        <v>5</v>
      </c>
      <c r="K30" s="7"/>
      <c r="L30" s="2">
        <v>4.3055555555555555E-2</v>
      </c>
      <c r="M30" s="2">
        <v>5.4166666666666669E-2</v>
      </c>
      <c r="N30" s="2">
        <v>0.10277777777777777</v>
      </c>
      <c r="O30" s="2">
        <v>0.10416666666666667</v>
      </c>
      <c r="P30" s="47">
        <v>0.57533999999999996</v>
      </c>
      <c r="Q30" t="s">
        <v>45</v>
      </c>
      <c r="R30" t="s">
        <v>45</v>
      </c>
      <c r="S30" t="s">
        <v>45</v>
      </c>
      <c r="T30" t="s">
        <v>45</v>
      </c>
      <c r="U30" s="7"/>
      <c r="V30" s="13">
        <f t="shared" si="13"/>
        <v>16.000000000000004</v>
      </c>
      <c r="W30" s="95">
        <f t="shared" si="13"/>
        <v>69.999999999999986</v>
      </c>
      <c r="X30" s="40">
        <f t="shared" si="14"/>
        <v>32.000000000000043</v>
      </c>
      <c r="Y30" s="4">
        <f t="shared" si="14"/>
        <v>18.000000000000057</v>
      </c>
      <c r="Z30" s="4">
        <f t="shared" si="1"/>
        <v>-32.000000000000007</v>
      </c>
      <c r="AA30" s="4">
        <f t="shared" si="2"/>
        <v>-18.000000000000028</v>
      </c>
      <c r="AB30" s="4">
        <f t="shared" si="3"/>
        <v>-29.999999999999993</v>
      </c>
      <c r="AC30" s="13">
        <f t="shared" si="4"/>
        <v>2</v>
      </c>
      <c r="AD30" s="15">
        <f t="shared" si="5"/>
        <v>64.000000000000057</v>
      </c>
      <c r="AG30" s="18">
        <v>0</v>
      </c>
      <c r="AH30" s="19">
        <f t="shared" si="6"/>
        <v>30</v>
      </c>
      <c r="AI30" s="19">
        <f t="shared" si="7"/>
        <v>150.00000000000006</v>
      </c>
      <c r="AJ30" s="20">
        <f t="shared" si="15"/>
        <v>22.000000000000043</v>
      </c>
      <c r="AK30" s="19">
        <f t="shared" si="25"/>
        <v>22.000000000000043</v>
      </c>
      <c r="AL30" s="19">
        <f t="shared" si="17"/>
        <v>48.000000000000057</v>
      </c>
      <c r="AM30" s="19">
        <f t="shared" si="18"/>
        <v>48.000000000000057</v>
      </c>
      <c r="AN30" s="19">
        <f t="shared" si="26"/>
        <v>118.00000000000004</v>
      </c>
      <c r="AO30" s="19">
        <f t="shared" si="19"/>
        <v>109.00000000000003</v>
      </c>
      <c r="AP30" s="19">
        <f t="shared" si="20"/>
        <v>120.00000000000004</v>
      </c>
      <c r="AQ30" s="19">
        <f t="shared" si="21"/>
        <v>314.00000000000006</v>
      </c>
      <c r="AR30" s="47">
        <f t="shared" si="22"/>
        <v>-71.233000000000004</v>
      </c>
      <c r="AS30">
        <f t="shared" si="9"/>
        <v>0</v>
      </c>
    </row>
    <row r="31" spans="1:46">
      <c r="A31" s="30">
        <f t="shared" si="0"/>
        <v>45807</v>
      </c>
      <c r="B31" s="31">
        <v>45807</v>
      </c>
      <c r="C31" s="32" t="s">
        <v>159</v>
      </c>
      <c r="D31" s="33">
        <v>2.0833333333333301E-2</v>
      </c>
      <c r="E31" s="35">
        <f t="shared" si="10"/>
        <v>4.166666666666663E-2</v>
      </c>
      <c r="F31" s="34">
        <v>30</v>
      </c>
      <c r="G31" s="33">
        <v>0.125</v>
      </c>
      <c r="H31" s="36">
        <f t="shared" si="11"/>
        <v>120.00000000000006</v>
      </c>
      <c r="I31" s="37">
        <f t="shared" si="12"/>
        <v>9.9305555555555564E-2</v>
      </c>
      <c r="J31" s="4">
        <v>5</v>
      </c>
      <c r="K31" s="7"/>
      <c r="L31" s="2">
        <v>4.1666666666666664E-2</v>
      </c>
      <c r="M31" s="2">
        <v>5.2777777777777778E-2</v>
      </c>
      <c r="N31" s="2">
        <v>9.583333333333334E-2</v>
      </c>
      <c r="O31" s="2">
        <v>0.1</v>
      </c>
      <c r="P31" s="47">
        <v>0.57274000000000003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3"/>
        <v>16.000000000000004</v>
      </c>
      <c r="W31" s="95">
        <f t="shared" si="13"/>
        <v>62.000000000000007</v>
      </c>
      <c r="X31" s="40">
        <f t="shared" si="14"/>
        <v>30.000000000000043</v>
      </c>
      <c r="Y31" s="4">
        <f t="shared" si="14"/>
        <v>16.000000000000053</v>
      </c>
      <c r="Z31" s="4">
        <f t="shared" si="1"/>
        <v>-41.999999999999993</v>
      </c>
      <c r="AA31" s="4">
        <f t="shared" si="2"/>
        <v>-28.000000000000007</v>
      </c>
      <c r="AB31" s="4">
        <f t="shared" si="3"/>
        <v>-35.999999999999993</v>
      </c>
      <c r="AC31" s="13">
        <f t="shared" si="4"/>
        <v>6</v>
      </c>
      <c r="AD31" s="15">
        <f t="shared" si="5"/>
        <v>72.000000000000028</v>
      </c>
      <c r="AG31" s="18">
        <v>0</v>
      </c>
      <c r="AH31" s="19">
        <f t="shared" si="6"/>
        <v>30</v>
      </c>
      <c r="AI31" s="19">
        <f t="shared" si="7"/>
        <v>150.00000000000006</v>
      </c>
      <c r="AJ31" s="20">
        <f t="shared" si="15"/>
        <v>20.000000000000043</v>
      </c>
      <c r="AK31" s="19">
        <f t="shared" si="25"/>
        <v>20.000000000000043</v>
      </c>
      <c r="AL31" s="19">
        <f t="shared" si="17"/>
        <v>46.000000000000057</v>
      </c>
      <c r="AM31" s="19">
        <f t="shared" si="18"/>
        <v>46.000000000000057</v>
      </c>
      <c r="AN31" s="19">
        <f t="shared" si="26"/>
        <v>108.00000000000006</v>
      </c>
      <c r="AO31" s="19">
        <f t="shared" si="19"/>
        <v>104.00000000000003</v>
      </c>
      <c r="AP31" s="19">
        <f t="shared" si="20"/>
        <v>114.00000000000006</v>
      </c>
      <c r="AQ31" s="19">
        <f t="shared" si="21"/>
        <v>322</v>
      </c>
      <c r="AR31" s="47">
        <f t="shared" si="22"/>
        <v>-71.363</v>
      </c>
      <c r="AS31">
        <f t="shared" si="9"/>
        <v>0</v>
      </c>
    </row>
    <row r="32" spans="1:46" hidden="1">
      <c r="A32" s="30">
        <f t="shared" si="0"/>
        <v>45808</v>
      </c>
      <c r="B32" s="31">
        <v>45808</v>
      </c>
      <c r="C32" s="32" t="s">
        <v>159</v>
      </c>
      <c r="D32" s="33">
        <v>2.0833333333333301E-2</v>
      </c>
      <c r="E32" s="35">
        <f t="shared" si="10"/>
        <v>4.166666666666663E-2</v>
      </c>
      <c r="F32" s="34">
        <v>30</v>
      </c>
      <c r="G32" s="33">
        <v>0.125</v>
      </c>
      <c r="H32" s="36">
        <f t="shared" si="11"/>
        <v>120.00000000000006</v>
      </c>
      <c r="I32" s="37">
        <f t="shared" si="12"/>
        <v>0.12777777777777777</v>
      </c>
      <c r="J32" s="4">
        <v>5</v>
      </c>
      <c r="L32" s="2">
        <v>5.7638888888888892E-2</v>
      </c>
      <c r="M32" s="2">
        <v>7.7777777777777779E-2</v>
      </c>
      <c r="N32" s="2">
        <v>0.12430555555555556</v>
      </c>
      <c r="O32" s="2">
        <v>0.13333333333333333</v>
      </c>
      <c r="P32" s="47">
        <v>0.58269000000000004</v>
      </c>
      <c r="Q32" t="s">
        <v>44</v>
      </c>
      <c r="R32" t="s">
        <v>45</v>
      </c>
      <c r="S32" t="s">
        <v>45</v>
      </c>
      <c r="T32" t="s">
        <v>45</v>
      </c>
      <c r="V32" s="13">
        <f t="shared" si="13"/>
        <v>28.999999999999996</v>
      </c>
      <c r="W32" s="95">
        <f t="shared" si="13"/>
        <v>67</v>
      </c>
      <c r="X32" s="40">
        <f t="shared" si="14"/>
        <v>53.00000000000005</v>
      </c>
      <c r="Y32" s="4">
        <f t="shared" si="14"/>
        <v>52.000000000000057</v>
      </c>
      <c r="Z32" s="4">
        <f t="shared" si="1"/>
        <v>-0.99999999999999645</v>
      </c>
      <c r="AA32" s="4">
        <f t="shared" si="2"/>
        <v>0</v>
      </c>
      <c r="AB32" s="4">
        <f t="shared" si="3"/>
        <v>11.999999999999996</v>
      </c>
      <c r="AC32" s="13">
        <f t="shared" si="4"/>
        <v>13</v>
      </c>
      <c r="AD32" s="15">
        <f t="shared" si="5"/>
        <v>54.000000000000043</v>
      </c>
      <c r="AG32" s="18">
        <v>0</v>
      </c>
      <c r="AH32" s="19">
        <f t="shared" si="6"/>
        <v>30</v>
      </c>
      <c r="AI32" s="19">
        <f t="shared" si="7"/>
        <v>150.00000000000006</v>
      </c>
      <c r="AJ32" s="20">
        <f t="shared" si="15"/>
        <v>43.00000000000005</v>
      </c>
      <c r="AK32" s="19">
        <f t="shared" si="25"/>
        <v>43.00000000000005</v>
      </c>
      <c r="AL32" s="19">
        <f t="shared" si="17"/>
        <v>82.000000000000057</v>
      </c>
      <c r="AM32" s="19">
        <f t="shared" si="18"/>
        <v>82.000000000000057</v>
      </c>
      <c r="AN32" s="19">
        <f t="shared" si="26"/>
        <v>149.00000000000006</v>
      </c>
      <c r="AO32" s="19">
        <f t="shared" si="19"/>
        <v>124.50000000000003</v>
      </c>
      <c r="AP32" s="19">
        <f t="shared" si="20"/>
        <v>162.00000000000006</v>
      </c>
      <c r="AQ32" s="19">
        <f t="shared" si="21"/>
        <v>304.00000000000006</v>
      </c>
      <c r="AR32" s="47">
        <f t="shared" si="22"/>
        <v>-70.865499999999997</v>
      </c>
    </row>
    <row r="33" spans="4:43">
      <c r="L33" s="5">
        <f>AVERAGE(L2:L31)</f>
        <v>3.9606481481481493E-2</v>
      </c>
      <c r="M33" s="5">
        <f>AVERAGE(M2:M31)</f>
        <v>5.6620370370370376E-2</v>
      </c>
      <c r="N33" s="5">
        <f>AVERAGE(N2:N31)</f>
        <v>0.10787037037037035</v>
      </c>
      <c r="O33" s="38">
        <f>AVERAGE(O2:O31)</f>
        <v>0.11013888888888887</v>
      </c>
      <c r="P33" s="48">
        <f>AVERAGE(P2:P31)</f>
        <v>0.57529733333333344</v>
      </c>
      <c r="Q33" s="48"/>
      <c r="R33" s="48"/>
      <c r="S33" s="48"/>
      <c r="T33" s="48"/>
      <c r="V33" s="16">
        <f>AVERAGE(V2:V31)</f>
        <v>24.5</v>
      </c>
      <c r="W33" s="97">
        <f>AVERAGE(W2:W31)</f>
        <v>73.8</v>
      </c>
      <c r="X33" s="16">
        <f>AVERAGE(X2:X32)</f>
        <v>27.870967741935512</v>
      </c>
      <c r="AD33" s="14">
        <f>AVERAGE(AD2:AD32)</f>
        <v>51.77419354838711</v>
      </c>
    </row>
    <row r="34" spans="4:43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6" spans="4:43">
      <c r="D36" s="2"/>
    </row>
    <row r="37" spans="4:43">
      <c r="D37" s="2"/>
    </row>
    <row r="38" spans="4:43">
      <c r="D38" s="2"/>
    </row>
    <row r="39" spans="4:43">
      <c r="D39" s="2"/>
    </row>
    <row r="40" spans="4:43">
      <c r="D40" s="2"/>
    </row>
    <row r="41" spans="4:43">
      <c r="D41" s="2"/>
    </row>
    <row r="42" spans="4:43">
      <c r="D42" s="2"/>
    </row>
    <row r="43" spans="4:43">
      <c r="D43" s="2"/>
    </row>
    <row r="44" spans="4:43">
      <c r="D44" s="2"/>
    </row>
    <row r="45" spans="4:43">
      <c r="D45" s="2"/>
    </row>
    <row r="46" spans="4:43">
      <c r="D46" s="2"/>
    </row>
    <row r="47" spans="4:43">
      <c r="D47" s="2"/>
    </row>
    <row r="48" spans="4:43">
      <c r="D48" s="2"/>
    </row>
  </sheetData>
  <autoFilter ref="B1:Z32" xr:uid="{00000000-0001-0000-0000-000000000000}"/>
  <mergeCells count="1">
    <mergeCell ref="AG34:AQ34"/>
  </mergeCells>
  <conditionalFormatting sqref="V2:V32">
    <cfRule type="cellIs" dxfId="33" priority="6" operator="greaterThan">
      <formula>$F$2</formula>
    </cfRule>
    <cfRule type="cellIs" dxfId="32" priority="7" operator="lessThanOrEqual">
      <formula>$F$2</formula>
    </cfRule>
  </conditionalFormatting>
  <conditionalFormatting sqref="V33">
    <cfRule type="cellIs" dxfId="31" priority="1" operator="lessThanOrEqual">
      <formula>0</formula>
    </cfRule>
  </conditionalFormatting>
  <conditionalFormatting sqref="W2:W32">
    <cfRule type="cellIs" dxfId="30" priority="4" operator="greaterThan">
      <formula>$H$2</formula>
    </cfRule>
    <cfRule type="cellIs" dxfId="29" priority="5" operator="lessThanOrEqual">
      <formula>$H$2</formula>
    </cfRule>
  </conditionalFormatting>
  <conditionalFormatting sqref="AC2:AC32">
    <cfRule type="cellIs" dxfId="28" priority="2" operator="greaterThan">
      <formula>5</formula>
    </cfRule>
  </conditionalFormatting>
  <conditionalFormatting sqref="AD2:AD32 P2:T33">
    <cfRule type="cellIs" dxfId="27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D4FB-B207-4739-A03A-12C5C0F01DFE}">
  <dimension ref="A1:AK49"/>
  <sheetViews>
    <sheetView showGridLines="0" topLeftCell="J12" workbookViewId="0">
      <selection activeCell="Y2" sqref="Y2:Y31"/>
    </sheetView>
  </sheetViews>
  <sheetFormatPr defaultColWidth="10.26953125" defaultRowHeight="14.5"/>
  <cols>
    <col min="1" max="1" width="10.26953125" style="1"/>
    <col min="2" max="2" width="11.7265625" style="1" bestFit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16" width="3.54296875" customWidth="1"/>
    <col min="17" max="19" width="11.1796875" customWidth="1"/>
    <col min="20" max="20" width="13.26953125" customWidth="1"/>
    <col min="21" max="25" width="11.1796875" customWidth="1"/>
    <col min="26" max="27" width="4" customWidth="1"/>
  </cols>
  <sheetData>
    <row r="1" spans="1:37" s="105" customFormat="1" ht="72.75" customHeight="1">
      <c r="A1" s="98" t="s">
        <v>3</v>
      </c>
      <c r="B1" s="99" t="s">
        <v>4</v>
      </c>
      <c r="C1" s="100" t="s">
        <v>0</v>
      </c>
      <c r="D1" s="100" t="s">
        <v>1</v>
      </c>
      <c r="E1" s="101" t="s">
        <v>6</v>
      </c>
      <c r="F1" s="100" t="s">
        <v>10</v>
      </c>
      <c r="G1" s="100" t="s">
        <v>7</v>
      </c>
      <c r="H1" s="101" t="s">
        <v>9</v>
      </c>
      <c r="I1" s="101" t="s">
        <v>8</v>
      </c>
      <c r="J1" s="100" t="s">
        <v>11</v>
      </c>
      <c r="K1" s="102"/>
      <c r="L1" s="103" t="s">
        <v>2</v>
      </c>
      <c r="M1" s="100" t="s">
        <v>5</v>
      </c>
      <c r="N1" s="100" t="s">
        <v>13</v>
      </c>
      <c r="O1" s="100" t="s">
        <v>12</v>
      </c>
      <c r="P1" s="102"/>
      <c r="Q1" s="100" t="s">
        <v>14</v>
      </c>
      <c r="R1" s="104" t="s">
        <v>15</v>
      </c>
      <c r="S1" s="100" t="s">
        <v>17</v>
      </c>
      <c r="T1" s="100" t="s">
        <v>18</v>
      </c>
      <c r="U1" s="100" t="s">
        <v>16</v>
      </c>
      <c r="V1" s="100" t="s">
        <v>21</v>
      </c>
      <c r="W1" s="100" t="s">
        <v>19</v>
      </c>
      <c r="X1" s="100" t="s">
        <v>20</v>
      </c>
      <c r="Y1" s="104" t="s">
        <v>28</v>
      </c>
      <c r="AB1" s="106" t="s">
        <v>1</v>
      </c>
      <c r="AC1" s="107" t="s">
        <v>22</v>
      </c>
      <c r="AD1" s="107" t="s">
        <v>23</v>
      </c>
      <c r="AE1" s="108" t="s">
        <v>160</v>
      </c>
      <c r="AF1" s="107" t="s">
        <v>2</v>
      </c>
      <c r="AG1" s="107" t="s">
        <v>24</v>
      </c>
      <c r="AH1" s="107" t="s">
        <v>25</v>
      </c>
      <c r="AI1" s="107" t="s">
        <v>26</v>
      </c>
      <c r="AJ1" s="108" t="s">
        <v>27</v>
      </c>
      <c r="AK1" s="108" t="s">
        <v>29</v>
      </c>
    </row>
    <row r="2" spans="1:37">
      <c r="A2" s="30">
        <f t="shared" ref="A2:A31" si="0">B2</f>
        <v>45717</v>
      </c>
      <c r="B2" s="31">
        <v>45717</v>
      </c>
      <c r="C2" s="32" t="s">
        <v>161</v>
      </c>
      <c r="D2" s="33">
        <v>4.1666666666666664E-2</v>
      </c>
      <c r="E2" s="35">
        <f>(D2+(TIME(0,F2,0)))</f>
        <v>6.25E-2</v>
      </c>
      <c r="F2" s="34">
        <v>30</v>
      </c>
      <c r="G2" s="33">
        <v>0.16666666666666666</v>
      </c>
      <c r="H2" s="36">
        <f>((G2-D2)*1440)-F2</f>
        <v>150</v>
      </c>
      <c r="I2" s="37">
        <f>(N2+(TIME(0,J2,0)))</f>
        <v>6.3888888888888912E-2</v>
      </c>
      <c r="J2" s="4">
        <v>7</v>
      </c>
      <c r="K2" s="7"/>
      <c r="L2" s="39">
        <v>1.38888888888889E-2</v>
      </c>
      <c r="M2" s="39" t="s">
        <v>162</v>
      </c>
      <c r="N2" s="33">
        <v>5.9027777777777797E-2</v>
      </c>
      <c r="O2" s="109">
        <v>6.3888888888888884E-2</v>
      </c>
      <c r="P2" s="7"/>
      <c r="Q2" s="13">
        <f>((M2-L2)*1440)</f>
        <v>19.999999999999982</v>
      </c>
      <c r="R2" s="13">
        <f>((N2-M2)*1440)</f>
        <v>45.000000000000028</v>
      </c>
      <c r="S2" s="40">
        <f>((L2-D2)*1440)</f>
        <v>-39.999999999999979</v>
      </c>
      <c r="T2" s="4">
        <f>((M2-E2)*1440)</f>
        <v>-50</v>
      </c>
      <c r="U2" s="4">
        <f>((N2-G2)*1440)</f>
        <v>-154.99999999999997</v>
      </c>
      <c r="V2" s="4">
        <f>R2-(H2-S2)</f>
        <v>-144.99999999999994</v>
      </c>
      <c r="W2" s="4">
        <f>((O2-G2)*1440)</f>
        <v>-148</v>
      </c>
      <c r="X2" s="13">
        <f>((O2-N2)*1440)</f>
        <v>6.9999999999999654</v>
      </c>
      <c r="Y2" s="15">
        <f>(U2*-1)+S2</f>
        <v>115</v>
      </c>
      <c r="AB2" s="18">
        <v>0</v>
      </c>
      <c r="AC2" s="19">
        <f t="shared" ref="AC2:AC32" si="1">AB2+F2</f>
        <v>30</v>
      </c>
      <c r="AD2" s="19">
        <f t="shared" ref="AD2:AD32" si="2">AB2+H2+AC2</f>
        <v>180</v>
      </c>
      <c r="AE2" s="110">
        <v>110</v>
      </c>
      <c r="AF2" s="20">
        <f t="shared" ref="AF2:AG29" si="3">AB2+S2</f>
        <v>-39.999999999999979</v>
      </c>
      <c r="AG2" s="19">
        <f t="shared" si="3"/>
        <v>-20</v>
      </c>
      <c r="AH2" s="19">
        <f t="shared" ref="AH2:AH32" si="4">AG2+R2</f>
        <v>25.000000000000028</v>
      </c>
      <c r="AI2" s="19">
        <f>(AH2/2)+50</f>
        <v>62.500000000000014</v>
      </c>
      <c r="AJ2" s="19">
        <f>AH2+X2</f>
        <v>31.999999999999993</v>
      </c>
      <c r="AK2" s="19">
        <f>Y2+150</f>
        <v>265</v>
      </c>
    </row>
    <row r="3" spans="1:37">
      <c r="A3" s="30">
        <f t="shared" si="0"/>
        <v>45718</v>
      </c>
      <c r="B3" s="31">
        <v>45718</v>
      </c>
      <c r="C3" s="32" t="s">
        <v>161</v>
      </c>
      <c r="D3" s="33">
        <v>4.1666666666666664E-2</v>
      </c>
      <c r="E3" s="35">
        <f t="shared" ref="E3:E31" si="5">(D3+(TIME(0,F3,0)))</f>
        <v>6.25E-2</v>
      </c>
      <c r="F3" s="34">
        <v>30</v>
      </c>
      <c r="G3" s="33">
        <v>0.16666666666666666</v>
      </c>
      <c r="H3" s="36">
        <f t="shared" ref="H3:H31" si="6">((G3-D3)*1440)-F3</f>
        <v>150</v>
      </c>
      <c r="I3" s="37">
        <f t="shared" ref="I3:I31" si="7">(N3+(TIME(0,J3,0)))</f>
        <v>0.125</v>
      </c>
      <c r="J3" s="4">
        <v>7</v>
      </c>
      <c r="K3" s="7"/>
      <c r="L3" s="39">
        <v>8.1250000000000003E-2</v>
      </c>
      <c r="M3" s="39">
        <v>9.2361111111111116E-2</v>
      </c>
      <c r="N3" s="33">
        <v>0.12013888888888889</v>
      </c>
      <c r="O3" s="109">
        <v>0.12430555555555556</v>
      </c>
      <c r="P3" s="7"/>
      <c r="Q3" s="13">
        <f>((M3-L3)*1440)</f>
        <v>16.000000000000004</v>
      </c>
      <c r="R3" s="13">
        <f>((N3-M3)*1440)</f>
        <v>40</v>
      </c>
      <c r="S3" s="40">
        <f>((L3-D3)*1440)</f>
        <v>57.000000000000007</v>
      </c>
      <c r="T3" s="4">
        <f>((M3-E3)*1440)</f>
        <v>43.000000000000007</v>
      </c>
      <c r="U3" s="4">
        <f>((N3-G3)*1440)</f>
        <v>-66.999999999999986</v>
      </c>
      <c r="V3" s="4">
        <f>R3-(H3-S3)</f>
        <v>-53</v>
      </c>
      <c r="W3" s="4">
        <f>((O3-G3)*1440)</f>
        <v>-60.999999999999986</v>
      </c>
      <c r="X3" s="13">
        <f>((O3-N3)*1440)</f>
        <v>5.9999999999999982</v>
      </c>
      <c r="Y3" s="15">
        <f>(U3*-1)+S3</f>
        <v>124</v>
      </c>
      <c r="AB3" s="18">
        <v>0</v>
      </c>
      <c r="AC3" s="19">
        <f t="shared" si="1"/>
        <v>30</v>
      </c>
      <c r="AD3" s="19">
        <f t="shared" si="2"/>
        <v>180</v>
      </c>
      <c r="AE3" s="110">
        <v>110</v>
      </c>
      <c r="AF3" s="20">
        <f t="shared" si="3"/>
        <v>57.000000000000007</v>
      </c>
      <c r="AG3" s="19">
        <f t="shared" si="3"/>
        <v>73</v>
      </c>
      <c r="AH3" s="19">
        <f t="shared" si="4"/>
        <v>113</v>
      </c>
      <c r="AI3" s="19">
        <f>(AH3/2)+50</f>
        <v>106.5</v>
      </c>
      <c r="AJ3" s="19">
        <f>AH3+X3</f>
        <v>119</v>
      </c>
      <c r="AK3" s="19">
        <f>Y3+150</f>
        <v>274</v>
      </c>
    </row>
    <row r="4" spans="1:37">
      <c r="A4" s="30">
        <f t="shared" si="0"/>
        <v>45719</v>
      </c>
      <c r="B4" s="31">
        <v>45719</v>
      </c>
      <c r="C4" s="32" t="s">
        <v>161</v>
      </c>
      <c r="D4" s="33">
        <v>4.1666666666666664E-2</v>
      </c>
      <c r="E4" s="35">
        <f t="shared" si="5"/>
        <v>6.25E-2</v>
      </c>
      <c r="F4" s="34">
        <v>30</v>
      </c>
      <c r="G4" s="33">
        <v>0.16666666666666666</v>
      </c>
      <c r="H4" s="36">
        <f t="shared" si="6"/>
        <v>150</v>
      </c>
      <c r="I4" s="37">
        <f t="shared" si="7"/>
        <v>0.11388888888888911</v>
      </c>
      <c r="J4" s="4">
        <v>7</v>
      </c>
      <c r="K4" s="7"/>
      <c r="L4" s="39">
        <v>4.3749999999999997E-2</v>
      </c>
      <c r="M4" s="39" t="s">
        <v>163</v>
      </c>
      <c r="N4" s="33">
        <v>0.109027777777778</v>
      </c>
      <c r="O4" s="109">
        <v>0.11388888888888889</v>
      </c>
      <c r="P4" s="7"/>
      <c r="Q4" s="13">
        <v>19</v>
      </c>
      <c r="R4" s="13">
        <f t="shared" ref="R4:R31" si="8">((N4-M4)*1440)</f>
        <v>45.00000000000032</v>
      </c>
      <c r="S4" s="40">
        <f t="shared" ref="S4:T29" si="9">((L4-D4)*1440)</f>
        <v>2.9999999999999991</v>
      </c>
      <c r="T4" s="4">
        <f t="shared" si="9"/>
        <v>22</v>
      </c>
      <c r="U4" s="4">
        <f t="shared" ref="U4:U31" si="10">((N4-G4)*1440)</f>
        <v>-82.999999999999659</v>
      </c>
      <c r="V4" s="4">
        <f t="shared" ref="V4:V31" si="11">R4-H4</f>
        <v>-104.99999999999969</v>
      </c>
      <c r="W4" s="4">
        <f t="shared" ref="W4:W31" si="12">((O4-G4)*1440)</f>
        <v>-75.999999999999986</v>
      </c>
      <c r="X4" s="13">
        <f t="shared" ref="X4:X31" si="13">((O4-N4)*1440)</f>
        <v>6.9999999999996749</v>
      </c>
      <c r="Y4" s="15">
        <f t="shared" ref="Y4:Y31" si="14">(U4*-1)+S4</f>
        <v>85.999999999999659</v>
      </c>
      <c r="AB4" s="18">
        <v>0</v>
      </c>
      <c r="AC4" s="19">
        <f t="shared" si="1"/>
        <v>30</v>
      </c>
      <c r="AD4" s="19">
        <f t="shared" si="2"/>
        <v>180</v>
      </c>
      <c r="AE4" s="110">
        <v>110</v>
      </c>
      <c r="AF4" s="20">
        <f t="shared" si="3"/>
        <v>2.9999999999999991</v>
      </c>
      <c r="AG4" s="19">
        <f t="shared" si="3"/>
        <v>52</v>
      </c>
      <c r="AH4" s="19">
        <f t="shared" si="4"/>
        <v>97.000000000000313</v>
      </c>
      <c r="AI4" s="19">
        <f t="shared" ref="AI4:AI32" si="15">(AH4/2)+50</f>
        <v>98.500000000000156</v>
      </c>
      <c r="AJ4" s="19">
        <f t="shared" ref="AJ4:AJ32" si="16">AH4+X4</f>
        <v>103.99999999999999</v>
      </c>
      <c r="AK4" s="19">
        <f t="shared" ref="AK4:AK32" si="17">Y4+150</f>
        <v>235.99999999999966</v>
      </c>
    </row>
    <row r="5" spans="1:37">
      <c r="A5" s="30">
        <f t="shared" si="0"/>
        <v>45720</v>
      </c>
      <c r="B5" s="31">
        <v>45720</v>
      </c>
      <c r="C5" s="32" t="s">
        <v>161</v>
      </c>
      <c r="D5" s="33">
        <v>4.1666666666666664E-2</v>
      </c>
      <c r="E5" s="35">
        <f t="shared" si="5"/>
        <v>6.25E-2</v>
      </c>
      <c r="F5" s="34">
        <v>30</v>
      </c>
      <c r="G5" s="33">
        <v>0.16666666666666666</v>
      </c>
      <c r="H5" s="36">
        <f t="shared" si="6"/>
        <v>150</v>
      </c>
      <c r="I5" s="37">
        <f t="shared" si="7"/>
        <v>0.10486111111111111</v>
      </c>
      <c r="J5" s="4">
        <v>7</v>
      </c>
      <c r="K5" s="7"/>
      <c r="L5" s="39">
        <v>4.4444444444444398E-2</v>
      </c>
      <c r="M5" s="39" t="s">
        <v>164</v>
      </c>
      <c r="N5" s="33">
        <v>0.1</v>
      </c>
      <c r="O5" s="109">
        <v>0.10486111111111111</v>
      </c>
      <c r="P5" s="7"/>
      <c r="Q5" s="13">
        <f t="shared" ref="Q5:Q31" si="18">((M5-L5)*1440)</f>
        <v>40.000000000000057</v>
      </c>
      <c r="R5" s="13">
        <f t="shared" si="8"/>
        <v>40.000000000000014</v>
      </c>
      <c r="S5" s="40">
        <f t="shared" si="9"/>
        <v>3.9999999999999361</v>
      </c>
      <c r="T5" s="4">
        <f t="shared" si="9"/>
        <v>13.999999999999989</v>
      </c>
      <c r="U5" s="4">
        <f t="shared" si="10"/>
        <v>-95.999999999999972</v>
      </c>
      <c r="V5" s="4">
        <f t="shared" si="11"/>
        <v>-109.99999999999999</v>
      </c>
      <c r="W5" s="4">
        <f t="shared" si="12"/>
        <v>-88.999999999999986</v>
      </c>
      <c r="X5" s="13">
        <f t="shared" si="13"/>
        <v>6.9999999999999947</v>
      </c>
      <c r="Y5" s="15">
        <f t="shared" si="14"/>
        <v>99.999999999999915</v>
      </c>
      <c r="AB5" s="18">
        <v>0</v>
      </c>
      <c r="AC5" s="19">
        <f t="shared" si="1"/>
        <v>30</v>
      </c>
      <c r="AD5" s="19">
        <f t="shared" si="2"/>
        <v>180</v>
      </c>
      <c r="AE5" s="110">
        <v>110</v>
      </c>
      <c r="AF5" s="20">
        <f t="shared" si="3"/>
        <v>3.9999999999999361</v>
      </c>
      <c r="AG5" s="19">
        <f t="shared" si="3"/>
        <v>43.999999999999986</v>
      </c>
      <c r="AH5" s="19">
        <f t="shared" si="4"/>
        <v>84</v>
      </c>
      <c r="AI5" s="19">
        <f t="shared" si="15"/>
        <v>92</v>
      </c>
      <c r="AJ5" s="19">
        <f t="shared" si="16"/>
        <v>91</v>
      </c>
      <c r="AK5" s="19">
        <f t="shared" si="17"/>
        <v>249.99999999999991</v>
      </c>
    </row>
    <row r="6" spans="1:37">
      <c r="A6" s="30">
        <f t="shared" si="0"/>
        <v>45721</v>
      </c>
      <c r="B6" s="31">
        <v>45721</v>
      </c>
      <c r="C6" s="32" t="s">
        <v>161</v>
      </c>
      <c r="D6" s="33">
        <v>4.1666666666666664E-2</v>
      </c>
      <c r="E6" s="35">
        <f t="shared" si="5"/>
        <v>6.25E-2</v>
      </c>
      <c r="F6" s="34">
        <v>30</v>
      </c>
      <c r="G6" s="33">
        <v>0.16666666666666666</v>
      </c>
      <c r="H6" s="36">
        <f t="shared" si="6"/>
        <v>150</v>
      </c>
      <c r="I6" s="37">
        <f t="shared" si="7"/>
        <v>0.15902777777777813</v>
      </c>
      <c r="J6" s="4">
        <v>7</v>
      </c>
      <c r="K6" s="7"/>
      <c r="L6" s="39">
        <v>3.9583333333333297E-2</v>
      </c>
      <c r="M6" s="39" t="s">
        <v>165</v>
      </c>
      <c r="N6" s="33">
        <v>0.15416666666666701</v>
      </c>
      <c r="O6" s="109">
        <v>0.15833333333333333</v>
      </c>
      <c r="P6" s="7"/>
      <c r="Q6" s="13">
        <f t="shared" si="18"/>
        <v>126.00000000000003</v>
      </c>
      <c r="R6" s="13">
        <f t="shared" si="8"/>
        <v>39.000000000000497</v>
      </c>
      <c r="S6" s="40">
        <f t="shared" si="9"/>
        <v>-3.0000000000000493</v>
      </c>
      <c r="T6" s="4">
        <f t="shared" si="9"/>
        <v>92.999999999999986</v>
      </c>
      <c r="U6" s="4">
        <f t="shared" si="10"/>
        <v>-17.999999999999496</v>
      </c>
      <c r="V6" s="4">
        <f t="shared" si="11"/>
        <v>-110.9999999999995</v>
      </c>
      <c r="W6" s="4">
        <f t="shared" si="12"/>
        <v>-11.999999999999996</v>
      </c>
      <c r="X6" s="13">
        <f t="shared" si="13"/>
        <v>5.9999999999994991</v>
      </c>
      <c r="Y6" s="15">
        <f>(U6*-1)+S6</f>
        <v>14.999999999999446</v>
      </c>
      <c r="AB6" s="18">
        <v>0</v>
      </c>
      <c r="AC6" s="19">
        <f t="shared" si="1"/>
        <v>30</v>
      </c>
      <c r="AD6" s="19">
        <f t="shared" si="2"/>
        <v>180</v>
      </c>
      <c r="AE6" s="110">
        <v>110</v>
      </c>
      <c r="AF6" s="20">
        <f t="shared" si="3"/>
        <v>-3.0000000000000493</v>
      </c>
      <c r="AG6" s="19">
        <f t="shared" si="3"/>
        <v>122.99999999999999</v>
      </c>
      <c r="AH6" s="19">
        <f t="shared" si="4"/>
        <v>162.00000000000048</v>
      </c>
      <c r="AI6" s="19">
        <f t="shared" si="15"/>
        <v>131.00000000000023</v>
      </c>
      <c r="AJ6" s="19">
        <f t="shared" si="16"/>
        <v>167.99999999999997</v>
      </c>
      <c r="AK6" s="19">
        <f t="shared" si="17"/>
        <v>164.99999999999943</v>
      </c>
    </row>
    <row r="7" spans="1:37">
      <c r="A7" s="30">
        <f t="shared" si="0"/>
        <v>45722</v>
      </c>
      <c r="B7" s="31">
        <v>45722</v>
      </c>
      <c r="C7" s="32" t="s">
        <v>161</v>
      </c>
      <c r="D7" s="33">
        <v>4.1666666666666664E-2</v>
      </c>
      <c r="E7" s="35">
        <f t="shared" si="5"/>
        <v>6.25E-2</v>
      </c>
      <c r="F7" s="34">
        <v>30</v>
      </c>
      <c r="G7" s="33">
        <v>0.16666666666666666</v>
      </c>
      <c r="H7" s="36">
        <f t="shared" si="6"/>
        <v>150</v>
      </c>
      <c r="I7" s="37">
        <f t="shared" si="7"/>
        <v>0.10069444444444441</v>
      </c>
      <c r="J7" s="4">
        <v>7</v>
      </c>
      <c r="K7" s="7"/>
      <c r="L7" s="39">
        <v>4.5833333333333302E-2</v>
      </c>
      <c r="M7" s="39" t="s">
        <v>166</v>
      </c>
      <c r="N7" s="33">
        <v>9.5833333333333298E-2</v>
      </c>
      <c r="O7" s="109">
        <v>0.10069444444444445</v>
      </c>
      <c r="P7" s="7"/>
      <c r="Q7" s="13">
        <f t="shared" si="18"/>
        <v>33.00000000000005</v>
      </c>
      <c r="R7" s="13">
        <f t="shared" si="8"/>
        <v>38.999999999999943</v>
      </c>
      <c r="S7" s="40">
        <f t="shared" si="9"/>
        <v>5.9999999999999591</v>
      </c>
      <c r="T7" s="4">
        <f t="shared" si="9"/>
        <v>9.0000000000000071</v>
      </c>
      <c r="U7" s="4">
        <f t="shared" si="10"/>
        <v>-102.00000000000004</v>
      </c>
      <c r="V7" s="4">
        <f t="shared" si="11"/>
        <v>-111.00000000000006</v>
      </c>
      <c r="W7" s="4">
        <f t="shared" si="12"/>
        <v>-94.999999999999986</v>
      </c>
      <c r="X7" s="13">
        <f t="shared" si="13"/>
        <v>7.0000000000000551</v>
      </c>
      <c r="Y7" s="15">
        <f t="shared" si="14"/>
        <v>108</v>
      </c>
      <c r="AB7" s="18">
        <v>0</v>
      </c>
      <c r="AC7" s="19">
        <f t="shared" si="1"/>
        <v>30</v>
      </c>
      <c r="AD7" s="19">
        <f t="shared" si="2"/>
        <v>180</v>
      </c>
      <c r="AE7" s="110">
        <v>110</v>
      </c>
      <c r="AF7" s="20">
        <f t="shared" si="3"/>
        <v>5.9999999999999591</v>
      </c>
      <c r="AG7" s="19">
        <f t="shared" si="3"/>
        <v>39.000000000000007</v>
      </c>
      <c r="AH7" s="19">
        <f t="shared" si="4"/>
        <v>77.999999999999943</v>
      </c>
      <c r="AI7" s="19">
        <f t="shared" si="15"/>
        <v>88.999999999999972</v>
      </c>
      <c r="AJ7" s="19">
        <f t="shared" si="16"/>
        <v>85</v>
      </c>
      <c r="AK7" s="19">
        <f t="shared" si="17"/>
        <v>258</v>
      </c>
    </row>
    <row r="8" spans="1:37">
      <c r="A8" s="30">
        <f t="shared" si="0"/>
        <v>45723</v>
      </c>
      <c r="B8" s="31">
        <v>45723</v>
      </c>
      <c r="C8" s="32" t="s">
        <v>161</v>
      </c>
      <c r="D8" s="33">
        <v>4.1666666666666664E-2</v>
      </c>
      <c r="E8" s="35">
        <f t="shared" si="5"/>
        <v>6.25E-2</v>
      </c>
      <c r="F8" s="34">
        <v>30</v>
      </c>
      <c r="G8" s="33">
        <v>0.16666666666666666</v>
      </c>
      <c r="H8" s="36">
        <f t="shared" si="6"/>
        <v>150</v>
      </c>
      <c r="I8" s="37">
        <f t="shared" si="7"/>
        <v>0.11736111111111111</v>
      </c>
      <c r="J8" s="4">
        <v>7</v>
      </c>
      <c r="K8" s="7"/>
      <c r="L8" s="39">
        <v>3.6805555555555598E-2</v>
      </c>
      <c r="M8" s="39" t="s">
        <v>167</v>
      </c>
      <c r="N8" s="33">
        <v>0.1125</v>
      </c>
      <c r="O8" s="109">
        <v>0.11736111111111111</v>
      </c>
      <c r="P8" s="7"/>
      <c r="Q8" s="13">
        <f t="shared" si="18"/>
        <v>70.999999999999943</v>
      </c>
      <c r="R8" s="13">
        <f t="shared" si="8"/>
        <v>38.000000000000007</v>
      </c>
      <c r="S8" s="40">
        <f t="shared" si="9"/>
        <v>-6.9999999999999352</v>
      </c>
      <c r="T8" s="4">
        <f t="shared" si="9"/>
        <v>34</v>
      </c>
      <c r="U8" s="4">
        <f t="shared" si="10"/>
        <v>-77.999999999999986</v>
      </c>
      <c r="V8" s="4">
        <f t="shared" si="11"/>
        <v>-112</v>
      </c>
      <c r="W8" s="4">
        <f t="shared" si="12"/>
        <v>-70.999999999999986</v>
      </c>
      <c r="X8" s="13">
        <f t="shared" si="13"/>
        <v>6.9999999999999947</v>
      </c>
      <c r="Y8" s="15">
        <f t="shared" si="14"/>
        <v>71.000000000000057</v>
      </c>
      <c r="AB8" s="18">
        <v>0</v>
      </c>
      <c r="AC8" s="19">
        <f t="shared" si="1"/>
        <v>30</v>
      </c>
      <c r="AD8" s="19">
        <f t="shared" si="2"/>
        <v>180</v>
      </c>
      <c r="AE8" s="110">
        <v>110</v>
      </c>
      <c r="AF8" s="20">
        <f t="shared" si="3"/>
        <v>-6.9999999999999352</v>
      </c>
      <c r="AG8" s="19">
        <f t="shared" si="3"/>
        <v>64</v>
      </c>
      <c r="AH8" s="19">
        <f t="shared" si="4"/>
        <v>102</v>
      </c>
      <c r="AI8" s="19">
        <f t="shared" si="15"/>
        <v>101</v>
      </c>
      <c r="AJ8" s="19">
        <f t="shared" si="16"/>
        <v>109</v>
      </c>
      <c r="AK8" s="19">
        <f t="shared" si="17"/>
        <v>221.00000000000006</v>
      </c>
    </row>
    <row r="9" spans="1:37">
      <c r="A9" s="30">
        <f t="shared" si="0"/>
        <v>45724</v>
      </c>
      <c r="B9" s="31">
        <v>45724</v>
      </c>
      <c r="C9" s="32" t="s">
        <v>161</v>
      </c>
      <c r="D9" s="33">
        <v>4.1666666666666664E-2</v>
      </c>
      <c r="E9" s="35">
        <f t="shared" si="5"/>
        <v>6.25E-2</v>
      </c>
      <c r="F9" s="34">
        <v>30</v>
      </c>
      <c r="G9" s="33">
        <v>0.16666666666666666</v>
      </c>
      <c r="H9" s="36">
        <f t="shared" si="6"/>
        <v>150</v>
      </c>
      <c r="I9" s="37">
        <f t="shared" si="7"/>
        <v>0.10069444444444441</v>
      </c>
      <c r="J9" s="4">
        <v>7</v>
      </c>
      <c r="K9" s="7"/>
      <c r="L9" s="39">
        <v>3.2638888888888898E-2</v>
      </c>
      <c r="M9" s="39" t="s">
        <v>168</v>
      </c>
      <c r="N9" s="33">
        <v>9.5833333333333298E-2</v>
      </c>
      <c r="O9" s="109">
        <v>0.10069444444444445</v>
      </c>
      <c r="P9" s="7"/>
      <c r="Q9" s="13">
        <f t="shared" si="18"/>
        <v>52.999999999999993</v>
      </c>
      <c r="R9" s="13">
        <f t="shared" si="8"/>
        <v>37.999999999999943</v>
      </c>
      <c r="S9" s="40">
        <f t="shared" si="9"/>
        <v>-12.999999999999984</v>
      </c>
      <c r="T9" s="4">
        <f t="shared" si="9"/>
        <v>10.000000000000004</v>
      </c>
      <c r="U9" s="4">
        <f t="shared" si="10"/>
        <v>-102.00000000000004</v>
      </c>
      <c r="V9" s="4">
        <f t="shared" si="11"/>
        <v>-112.00000000000006</v>
      </c>
      <c r="W9" s="4">
        <f t="shared" si="12"/>
        <v>-94.999999999999986</v>
      </c>
      <c r="X9" s="13">
        <f t="shared" si="13"/>
        <v>7.0000000000000551</v>
      </c>
      <c r="Y9" s="15">
        <f t="shared" si="14"/>
        <v>89.000000000000057</v>
      </c>
      <c r="AB9" s="18">
        <v>0</v>
      </c>
      <c r="AC9" s="19">
        <f t="shared" si="1"/>
        <v>30</v>
      </c>
      <c r="AD9" s="19">
        <f t="shared" si="2"/>
        <v>180</v>
      </c>
      <c r="AE9" s="110">
        <v>110</v>
      </c>
      <c r="AF9" s="20">
        <f t="shared" si="3"/>
        <v>-12.999999999999984</v>
      </c>
      <c r="AG9" s="19">
        <f t="shared" si="3"/>
        <v>40</v>
      </c>
      <c r="AH9" s="19">
        <f t="shared" si="4"/>
        <v>77.999999999999943</v>
      </c>
      <c r="AI9" s="19">
        <f t="shared" si="15"/>
        <v>88.999999999999972</v>
      </c>
      <c r="AJ9" s="19">
        <f t="shared" si="16"/>
        <v>85</v>
      </c>
      <c r="AK9" s="19">
        <f t="shared" si="17"/>
        <v>239.00000000000006</v>
      </c>
    </row>
    <row r="10" spans="1:37">
      <c r="A10" s="30">
        <f t="shared" si="0"/>
        <v>45725</v>
      </c>
      <c r="B10" s="31">
        <v>45725</v>
      </c>
      <c r="C10" s="32" t="s">
        <v>161</v>
      </c>
      <c r="D10" s="33">
        <v>4.1666666666666664E-2</v>
      </c>
      <c r="E10" s="35">
        <f t="shared" si="5"/>
        <v>6.25E-2</v>
      </c>
      <c r="F10" s="34">
        <v>30</v>
      </c>
      <c r="G10" s="33">
        <v>0.16666666666666666</v>
      </c>
      <c r="H10" s="36">
        <f t="shared" si="6"/>
        <v>150</v>
      </c>
      <c r="I10" s="37">
        <f t="shared" si="7"/>
        <v>0.1</v>
      </c>
      <c r="J10" s="4">
        <v>7</v>
      </c>
      <c r="K10" s="7"/>
      <c r="L10" s="39">
        <v>5.3472222222222199E-2</v>
      </c>
      <c r="M10" s="39" t="s">
        <v>169</v>
      </c>
      <c r="N10" s="33">
        <v>9.5138888888888898E-2</v>
      </c>
      <c r="O10" s="109">
        <v>9.930555555555555E-2</v>
      </c>
      <c r="P10" s="7"/>
      <c r="Q10" s="13">
        <f t="shared" si="18"/>
        <v>20.000000000000028</v>
      </c>
      <c r="R10" s="13">
        <f t="shared" si="8"/>
        <v>40.000000000000014</v>
      </c>
      <c r="S10" s="40">
        <f t="shared" si="9"/>
        <v>16.999999999999968</v>
      </c>
      <c r="T10" s="4">
        <f t="shared" si="9"/>
        <v>6.9999999999999947</v>
      </c>
      <c r="U10" s="4">
        <f t="shared" si="10"/>
        <v>-102.99999999999997</v>
      </c>
      <c r="V10" s="4">
        <f t="shared" si="11"/>
        <v>-109.99999999999999</v>
      </c>
      <c r="W10" s="4">
        <f t="shared" si="12"/>
        <v>-97</v>
      </c>
      <c r="X10" s="13">
        <f t="shared" si="13"/>
        <v>5.9999999999999787</v>
      </c>
      <c r="Y10" s="15">
        <f t="shared" si="14"/>
        <v>119.99999999999994</v>
      </c>
      <c r="AB10" s="18">
        <v>0</v>
      </c>
      <c r="AC10" s="19">
        <f t="shared" si="1"/>
        <v>30</v>
      </c>
      <c r="AD10" s="19">
        <f t="shared" si="2"/>
        <v>180</v>
      </c>
      <c r="AE10" s="110">
        <v>110</v>
      </c>
      <c r="AF10" s="20">
        <f t="shared" si="3"/>
        <v>16.999999999999968</v>
      </c>
      <c r="AG10" s="19">
        <f t="shared" si="3"/>
        <v>36.999999999999993</v>
      </c>
      <c r="AH10" s="19">
        <f t="shared" si="4"/>
        <v>77</v>
      </c>
      <c r="AI10" s="19">
        <f t="shared" si="15"/>
        <v>88.5</v>
      </c>
      <c r="AJ10" s="19">
        <f t="shared" si="16"/>
        <v>82.999999999999972</v>
      </c>
      <c r="AK10" s="19">
        <f t="shared" si="17"/>
        <v>269.99999999999994</v>
      </c>
    </row>
    <row r="11" spans="1:37">
      <c r="A11" s="30">
        <f t="shared" si="0"/>
        <v>45726</v>
      </c>
      <c r="B11" s="31">
        <v>45726</v>
      </c>
      <c r="C11" s="32" t="s">
        <v>161</v>
      </c>
      <c r="D11" s="33">
        <v>4.1666666666666664E-2</v>
      </c>
      <c r="E11" s="35">
        <f t="shared" si="5"/>
        <v>6.25E-2</v>
      </c>
      <c r="F11" s="34">
        <v>30</v>
      </c>
      <c r="G11" s="33">
        <v>0.16666666666666666</v>
      </c>
      <c r="H11" s="36">
        <f t="shared" si="6"/>
        <v>150</v>
      </c>
      <c r="I11" s="37">
        <f t="shared" si="7"/>
        <v>0.1020833333333333</v>
      </c>
      <c r="J11" s="4">
        <v>7</v>
      </c>
      <c r="K11" s="7"/>
      <c r="L11" s="39">
        <v>3.8194444444444399E-2</v>
      </c>
      <c r="M11" s="39" t="s">
        <v>168</v>
      </c>
      <c r="N11" s="33">
        <v>9.7222222222222196E-2</v>
      </c>
      <c r="O11" s="109">
        <v>0.10208333333333333</v>
      </c>
      <c r="P11" s="7"/>
      <c r="Q11" s="13">
        <f t="shared" si="18"/>
        <v>45.000000000000071</v>
      </c>
      <c r="R11" s="13">
        <f t="shared" si="8"/>
        <v>39.999999999999957</v>
      </c>
      <c r="S11" s="40">
        <f t="shared" si="9"/>
        <v>-5.0000000000000622</v>
      </c>
      <c r="T11" s="4">
        <f t="shared" si="9"/>
        <v>10.000000000000004</v>
      </c>
      <c r="U11" s="4">
        <f t="shared" si="10"/>
        <v>-100.00000000000003</v>
      </c>
      <c r="V11" s="4">
        <f t="shared" si="11"/>
        <v>-110.00000000000004</v>
      </c>
      <c r="W11" s="4">
        <f t="shared" si="12"/>
        <v>-92.999999999999986</v>
      </c>
      <c r="X11" s="13">
        <f t="shared" si="13"/>
        <v>7.0000000000000355</v>
      </c>
      <c r="Y11" s="15">
        <f t="shared" si="14"/>
        <v>94.999999999999972</v>
      </c>
      <c r="AB11" s="18">
        <v>0</v>
      </c>
      <c r="AC11" s="19">
        <f t="shared" si="1"/>
        <v>30</v>
      </c>
      <c r="AD11" s="19">
        <f t="shared" si="2"/>
        <v>180</v>
      </c>
      <c r="AE11" s="110">
        <v>110</v>
      </c>
      <c r="AF11" s="20">
        <f t="shared" si="3"/>
        <v>-5.0000000000000622</v>
      </c>
      <c r="AG11" s="19">
        <f t="shared" si="3"/>
        <v>40</v>
      </c>
      <c r="AH11" s="19">
        <f t="shared" si="4"/>
        <v>79.999999999999957</v>
      </c>
      <c r="AI11" s="19">
        <f t="shared" si="15"/>
        <v>89.999999999999972</v>
      </c>
      <c r="AJ11" s="19">
        <f t="shared" si="16"/>
        <v>87</v>
      </c>
      <c r="AK11" s="19">
        <f t="shared" si="17"/>
        <v>244.99999999999997</v>
      </c>
    </row>
    <row r="12" spans="1:37">
      <c r="A12" s="30">
        <f t="shared" si="0"/>
        <v>45727</v>
      </c>
      <c r="B12" s="31">
        <v>45727</v>
      </c>
      <c r="C12" s="32" t="s">
        <v>161</v>
      </c>
      <c r="D12" s="33">
        <v>4.1666666666666664E-2</v>
      </c>
      <c r="E12" s="35">
        <f t="shared" si="5"/>
        <v>6.25E-2</v>
      </c>
      <c r="F12" s="34">
        <v>30</v>
      </c>
      <c r="G12" s="33">
        <v>0.16666666666666666</v>
      </c>
      <c r="H12" s="36">
        <f t="shared" si="6"/>
        <v>150</v>
      </c>
      <c r="I12" s="37">
        <f t="shared" si="7"/>
        <v>0.10694444444444411</v>
      </c>
      <c r="J12" s="4">
        <v>7</v>
      </c>
      <c r="K12" s="7"/>
      <c r="L12" s="39">
        <v>4.4444444444444398E-2</v>
      </c>
      <c r="M12" s="39" t="s">
        <v>170</v>
      </c>
      <c r="N12" s="33">
        <v>0.102083333333333</v>
      </c>
      <c r="O12" s="109">
        <v>0.10694444444444444</v>
      </c>
      <c r="P12" s="7"/>
      <c r="Q12" s="13">
        <f t="shared" si="18"/>
        <v>43.000000000000064</v>
      </c>
      <c r="R12" s="13">
        <f t="shared" si="8"/>
        <v>39.999999999999517</v>
      </c>
      <c r="S12" s="40">
        <f t="shared" si="9"/>
        <v>3.9999999999999361</v>
      </c>
      <c r="T12" s="4">
        <f t="shared" si="9"/>
        <v>17</v>
      </c>
      <c r="U12" s="4">
        <f t="shared" si="10"/>
        <v>-93.000000000000469</v>
      </c>
      <c r="V12" s="4">
        <f t="shared" si="11"/>
        <v>-110.00000000000048</v>
      </c>
      <c r="W12" s="4">
        <f t="shared" si="12"/>
        <v>-86</v>
      </c>
      <c r="X12" s="13">
        <f t="shared" si="13"/>
        <v>7.0000000000004743</v>
      </c>
      <c r="Y12" s="15">
        <f t="shared" si="14"/>
        <v>97.000000000000398</v>
      </c>
      <c r="AB12" s="18">
        <v>0</v>
      </c>
      <c r="AC12" s="19">
        <f t="shared" si="1"/>
        <v>30</v>
      </c>
      <c r="AD12" s="19">
        <f t="shared" si="2"/>
        <v>180</v>
      </c>
      <c r="AE12" s="110">
        <v>110</v>
      </c>
      <c r="AF12" s="20">
        <f t="shared" si="3"/>
        <v>3.9999999999999361</v>
      </c>
      <c r="AG12" s="19">
        <f t="shared" si="3"/>
        <v>47</v>
      </c>
      <c r="AH12" s="19">
        <f t="shared" si="4"/>
        <v>86.999999999999517</v>
      </c>
      <c r="AI12" s="19">
        <f t="shared" si="15"/>
        <v>93.499999999999758</v>
      </c>
      <c r="AJ12" s="19">
        <f t="shared" si="16"/>
        <v>93.999999999999986</v>
      </c>
      <c r="AK12" s="19">
        <f t="shared" si="17"/>
        <v>247.0000000000004</v>
      </c>
    </row>
    <row r="13" spans="1:37">
      <c r="A13" s="30">
        <f t="shared" si="0"/>
        <v>45728</v>
      </c>
      <c r="B13" s="31">
        <v>45728</v>
      </c>
      <c r="C13" s="32" t="s">
        <v>161</v>
      </c>
      <c r="D13" s="33">
        <v>4.1666666666666664E-2</v>
      </c>
      <c r="E13" s="35">
        <f t="shared" si="5"/>
        <v>6.25E-2</v>
      </c>
      <c r="F13" s="34">
        <v>30</v>
      </c>
      <c r="G13" s="33">
        <v>0.16666666666666666</v>
      </c>
      <c r="H13" s="36">
        <f t="shared" si="6"/>
        <v>150</v>
      </c>
      <c r="I13" s="37">
        <f t="shared" si="7"/>
        <v>0.1020833333333333</v>
      </c>
      <c r="J13" s="4">
        <v>7</v>
      </c>
      <c r="K13" s="7"/>
      <c r="L13" s="39">
        <v>3.9583333333333297E-2</v>
      </c>
      <c r="M13" s="39" t="s">
        <v>168</v>
      </c>
      <c r="N13" s="33">
        <v>9.7222222222222196E-2</v>
      </c>
      <c r="O13" s="109">
        <v>0.10208333333333333</v>
      </c>
      <c r="P13" s="7"/>
      <c r="Q13" s="13">
        <f t="shared" si="18"/>
        <v>43.000000000000057</v>
      </c>
      <c r="R13" s="13">
        <f t="shared" si="8"/>
        <v>39.999999999999957</v>
      </c>
      <c r="S13" s="40">
        <f t="shared" si="9"/>
        <v>-3.0000000000000493</v>
      </c>
      <c r="T13" s="4">
        <f t="shared" si="9"/>
        <v>10.000000000000004</v>
      </c>
      <c r="U13" s="4">
        <f t="shared" si="10"/>
        <v>-100.00000000000003</v>
      </c>
      <c r="V13" s="4">
        <f t="shared" si="11"/>
        <v>-110.00000000000004</v>
      </c>
      <c r="W13" s="4">
        <f t="shared" si="12"/>
        <v>-92.999999999999986</v>
      </c>
      <c r="X13" s="13">
        <f t="shared" si="13"/>
        <v>7.0000000000000355</v>
      </c>
      <c r="Y13" s="15">
        <f t="shared" si="14"/>
        <v>96.999999999999986</v>
      </c>
      <c r="AB13" s="18">
        <v>0</v>
      </c>
      <c r="AC13" s="19">
        <f t="shared" si="1"/>
        <v>30</v>
      </c>
      <c r="AD13" s="19">
        <f t="shared" si="2"/>
        <v>180</v>
      </c>
      <c r="AE13" s="110">
        <v>110</v>
      </c>
      <c r="AF13" s="20">
        <f t="shared" si="3"/>
        <v>-3.0000000000000493</v>
      </c>
      <c r="AG13" s="19">
        <f t="shared" si="3"/>
        <v>40</v>
      </c>
      <c r="AH13" s="19">
        <f t="shared" si="4"/>
        <v>79.999999999999957</v>
      </c>
      <c r="AI13" s="19">
        <f t="shared" si="15"/>
        <v>89.999999999999972</v>
      </c>
      <c r="AJ13" s="19">
        <f t="shared" si="16"/>
        <v>87</v>
      </c>
      <c r="AK13" s="19">
        <f t="shared" si="17"/>
        <v>247</v>
      </c>
    </row>
    <row r="14" spans="1:37">
      <c r="A14" s="30">
        <f t="shared" si="0"/>
        <v>45729</v>
      </c>
      <c r="B14" s="31">
        <v>45729</v>
      </c>
      <c r="C14" s="32" t="s">
        <v>161</v>
      </c>
      <c r="D14" s="33">
        <v>4.1666666666666664E-2</v>
      </c>
      <c r="E14" s="35">
        <f t="shared" si="5"/>
        <v>6.25E-2</v>
      </c>
      <c r="F14" s="34">
        <v>30</v>
      </c>
      <c r="G14" s="33">
        <v>0.16666666666666666</v>
      </c>
      <c r="H14" s="36">
        <f t="shared" si="6"/>
        <v>150</v>
      </c>
      <c r="I14" s="37">
        <f t="shared" si="7"/>
        <v>0.1277777777777781</v>
      </c>
      <c r="J14" s="4">
        <v>7</v>
      </c>
      <c r="K14" s="7"/>
      <c r="L14" s="39">
        <v>5.7638888888888899E-2</v>
      </c>
      <c r="M14" s="39" t="s">
        <v>171</v>
      </c>
      <c r="N14" s="33">
        <v>0.12291666666666699</v>
      </c>
      <c r="O14" s="109">
        <v>0.12777777777777777</v>
      </c>
      <c r="P14" s="7"/>
      <c r="Q14" s="13">
        <f t="shared" si="18"/>
        <v>46.999999999999986</v>
      </c>
      <c r="R14" s="13">
        <f t="shared" si="8"/>
        <v>47.000000000000469</v>
      </c>
      <c r="S14" s="40">
        <f t="shared" si="9"/>
        <v>23.000000000000018</v>
      </c>
      <c r="T14" s="4">
        <f t="shared" si="9"/>
        <v>40</v>
      </c>
      <c r="U14" s="4">
        <f t="shared" si="10"/>
        <v>-62.999999999999517</v>
      </c>
      <c r="V14" s="4">
        <f t="shared" si="11"/>
        <v>-102.99999999999953</v>
      </c>
      <c r="W14" s="4">
        <f t="shared" si="12"/>
        <v>-56</v>
      </c>
      <c r="X14" s="13">
        <f t="shared" si="13"/>
        <v>6.9999999999995151</v>
      </c>
      <c r="Y14" s="15">
        <f t="shared" si="14"/>
        <v>85.999999999999531</v>
      </c>
      <c r="AB14" s="18">
        <v>0</v>
      </c>
      <c r="AC14" s="19">
        <f t="shared" si="1"/>
        <v>30</v>
      </c>
      <c r="AD14" s="19">
        <f t="shared" si="2"/>
        <v>180</v>
      </c>
      <c r="AE14" s="110">
        <v>110</v>
      </c>
      <c r="AF14" s="20">
        <f t="shared" si="3"/>
        <v>23.000000000000018</v>
      </c>
      <c r="AG14" s="19">
        <f t="shared" si="3"/>
        <v>70</v>
      </c>
      <c r="AH14" s="19">
        <f t="shared" si="4"/>
        <v>117.00000000000047</v>
      </c>
      <c r="AI14" s="19">
        <f t="shared" si="15"/>
        <v>108.50000000000023</v>
      </c>
      <c r="AJ14" s="19">
        <f t="shared" si="16"/>
        <v>123.99999999999999</v>
      </c>
      <c r="AK14" s="19">
        <f t="shared" si="17"/>
        <v>235.99999999999955</v>
      </c>
    </row>
    <row r="15" spans="1:37">
      <c r="A15" s="30">
        <f t="shared" si="0"/>
        <v>45730</v>
      </c>
      <c r="B15" s="31">
        <v>45730</v>
      </c>
      <c r="C15" s="32" t="s">
        <v>161</v>
      </c>
      <c r="D15" s="33">
        <v>4.1666666666666664E-2</v>
      </c>
      <c r="E15" s="35">
        <f t="shared" si="5"/>
        <v>6.25E-2</v>
      </c>
      <c r="F15" s="34">
        <v>30</v>
      </c>
      <c r="G15" s="33">
        <v>0.16666666666666666</v>
      </c>
      <c r="H15" s="36">
        <f t="shared" si="6"/>
        <v>150</v>
      </c>
      <c r="I15" s="37">
        <f t="shared" si="7"/>
        <v>0.1277777777777781</v>
      </c>
      <c r="J15" s="4">
        <v>7</v>
      </c>
      <c r="K15" s="7"/>
      <c r="L15" s="39">
        <v>1.52777777777778E-2</v>
      </c>
      <c r="M15" s="39" t="s">
        <v>172</v>
      </c>
      <c r="N15" s="33">
        <v>0.12291666666666699</v>
      </c>
      <c r="O15" s="109">
        <v>0.12708333333333333</v>
      </c>
      <c r="P15" s="7"/>
      <c r="Q15" s="13">
        <f t="shared" si="18"/>
        <v>110.99999999999997</v>
      </c>
      <c r="R15" s="13">
        <f t="shared" si="8"/>
        <v>44.000000000000462</v>
      </c>
      <c r="S15" s="40">
        <f t="shared" si="9"/>
        <v>-37.999999999999964</v>
      </c>
      <c r="T15" s="4">
        <f t="shared" si="9"/>
        <v>43.000000000000007</v>
      </c>
      <c r="U15" s="4">
        <f t="shared" si="10"/>
        <v>-62.999999999999517</v>
      </c>
      <c r="V15" s="4">
        <f t="shared" si="11"/>
        <v>-105.99999999999955</v>
      </c>
      <c r="W15" s="4">
        <f t="shared" si="12"/>
        <v>-57</v>
      </c>
      <c r="X15" s="13">
        <f t="shared" si="13"/>
        <v>5.9999999999995186</v>
      </c>
      <c r="Y15" s="15">
        <f t="shared" si="14"/>
        <v>24.999999999999552</v>
      </c>
      <c r="AB15" s="18">
        <v>0</v>
      </c>
      <c r="AC15" s="19">
        <f t="shared" si="1"/>
        <v>30</v>
      </c>
      <c r="AD15" s="19">
        <f t="shared" si="2"/>
        <v>180</v>
      </c>
      <c r="AE15" s="110">
        <v>110</v>
      </c>
      <c r="AF15" s="20">
        <f t="shared" si="3"/>
        <v>-37.999999999999964</v>
      </c>
      <c r="AG15" s="19">
        <f t="shared" si="3"/>
        <v>73</v>
      </c>
      <c r="AH15" s="19">
        <f t="shared" si="4"/>
        <v>117.00000000000045</v>
      </c>
      <c r="AI15" s="19">
        <f t="shared" si="15"/>
        <v>108.50000000000023</v>
      </c>
      <c r="AJ15" s="19">
        <f t="shared" si="16"/>
        <v>122.99999999999997</v>
      </c>
      <c r="AK15" s="19">
        <f t="shared" si="17"/>
        <v>174.99999999999955</v>
      </c>
    </row>
    <row r="16" spans="1:37">
      <c r="A16" s="30">
        <f t="shared" si="0"/>
        <v>45731</v>
      </c>
      <c r="B16" s="31">
        <v>45731</v>
      </c>
      <c r="C16" s="32" t="s">
        <v>161</v>
      </c>
      <c r="D16" s="33">
        <v>4.1666666666666664E-2</v>
      </c>
      <c r="E16" s="35">
        <f t="shared" si="5"/>
        <v>6.25E-2</v>
      </c>
      <c r="F16" s="34">
        <v>30</v>
      </c>
      <c r="G16" s="33">
        <v>0.16666666666666666</v>
      </c>
      <c r="H16" s="36">
        <f t="shared" si="6"/>
        <v>150</v>
      </c>
      <c r="I16" s="37">
        <f t="shared" si="7"/>
        <v>0.1111111111111111</v>
      </c>
      <c r="J16" s="4">
        <v>7</v>
      </c>
      <c r="K16" s="7"/>
      <c r="L16" s="39">
        <v>6.5277777777777796E-2</v>
      </c>
      <c r="M16" s="39" t="s">
        <v>173</v>
      </c>
      <c r="N16" s="33">
        <v>0.10625</v>
      </c>
      <c r="O16" s="109">
        <v>0.1111111111111111</v>
      </c>
      <c r="P16" s="7"/>
      <c r="Q16" s="13">
        <f t="shared" si="18"/>
        <v>19.999999999999968</v>
      </c>
      <c r="R16" s="13">
        <f t="shared" si="8"/>
        <v>39</v>
      </c>
      <c r="S16" s="40">
        <f t="shared" si="9"/>
        <v>34.000000000000028</v>
      </c>
      <c r="T16" s="4">
        <f t="shared" si="9"/>
        <v>23.999999999999993</v>
      </c>
      <c r="U16" s="4">
        <f t="shared" si="10"/>
        <v>-86.999999999999986</v>
      </c>
      <c r="V16" s="4">
        <f t="shared" si="11"/>
        <v>-111</v>
      </c>
      <c r="W16" s="4">
        <f t="shared" si="12"/>
        <v>-80</v>
      </c>
      <c r="X16" s="13">
        <f t="shared" si="13"/>
        <v>6.9999999999999947</v>
      </c>
      <c r="Y16" s="15">
        <f t="shared" si="14"/>
        <v>121.00000000000001</v>
      </c>
      <c r="AB16" s="18">
        <v>0</v>
      </c>
      <c r="AC16" s="19">
        <f t="shared" si="1"/>
        <v>30</v>
      </c>
      <c r="AD16" s="19">
        <f t="shared" si="2"/>
        <v>180</v>
      </c>
      <c r="AE16" s="110">
        <v>110</v>
      </c>
      <c r="AF16" s="20"/>
      <c r="AG16" s="19">
        <f t="shared" si="3"/>
        <v>53.999999999999993</v>
      </c>
      <c r="AH16" s="19">
        <f t="shared" si="4"/>
        <v>93</v>
      </c>
      <c r="AI16" s="19">
        <f t="shared" si="15"/>
        <v>96.5</v>
      </c>
      <c r="AJ16" s="19">
        <f t="shared" si="16"/>
        <v>100</v>
      </c>
      <c r="AK16" s="19">
        <f t="shared" si="17"/>
        <v>271</v>
      </c>
    </row>
    <row r="17" spans="1:37">
      <c r="A17" s="30">
        <f t="shared" si="0"/>
        <v>45732</v>
      </c>
      <c r="B17" s="31">
        <v>45732</v>
      </c>
      <c r="C17" s="32" t="s">
        <v>161</v>
      </c>
      <c r="D17" s="33">
        <v>4.1666666666666664E-2</v>
      </c>
      <c r="E17" s="35">
        <f t="shared" si="5"/>
        <v>6.25E-2</v>
      </c>
      <c r="F17" s="34">
        <v>30</v>
      </c>
      <c r="G17" s="33">
        <v>0.16666666666666666</v>
      </c>
      <c r="H17" s="36">
        <f t="shared" si="6"/>
        <v>150</v>
      </c>
      <c r="I17" s="37">
        <f t="shared" si="7"/>
        <v>9.8611111111111108E-2</v>
      </c>
      <c r="J17" s="4">
        <v>7</v>
      </c>
      <c r="K17" s="7"/>
      <c r="L17" s="39">
        <v>4.7222222222222221E-2</v>
      </c>
      <c r="M17" s="39" t="s">
        <v>174</v>
      </c>
      <c r="N17" s="33">
        <v>9.375E-2</v>
      </c>
      <c r="O17" s="109">
        <v>9.8611111111111108E-2</v>
      </c>
      <c r="P17" s="7"/>
      <c r="Q17" s="13">
        <f t="shared" si="18"/>
        <v>27.000000000000004</v>
      </c>
      <c r="R17" s="13">
        <f t="shared" si="8"/>
        <v>40</v>
      </c>
      <c r="S17" s="40">
        <f t="shared" si="9"/>
        <v>8.0000000000000018</v>
      </c>
      <c r="T17" s="4">
        <f t="shared" si="9"/>
        <v>5.0000000000000018</v>
      </c>
      <c r="U17" s="4">
        <f t="shared" si="10"/>
        <v>-104.99999999999999</v>
      </c>
      <c r="V17" s="4">
        <f t="shared" si="11"/>
        <v>-110</v>
      </c>
      <c r="W17" s="4">
        <f t="shared" si="12"/>
        <v>-97.999999999999986</v>
      </c>
      <c r="X17" s="13">
        <f t="shared" si="13"/>
        <v>6.9999999999999947</v>
      </c>
      <c r="Y17" s="15">
        <f t="shared" si="14"/>
        <v>112.99999999999999</v>
      </c>
      <c r="AB17" s="18">
        <v>0</v>
      </c>
      <c r="AC17" s="19">
        <f t="shared" si="1"/>
        <v>30</v>
      </c>
      <c r="AD17" s="19">
        <f t="shared" si="2"/>
        <v>180</v>
      </c>
      <c r="AE17" s="110">
        <v>110</v>
      </c>
      <c r="AF17" s="20">
        <f t="shared" si="3"/>
        <v>8.0000000000000018</v>
      </c>
      <c r="AG17" s="19">
        <f t="shared" si="3"/>
        <v>35</v>
      </c>
      <c r="AH17" s="19">
        <f t="shared" si="4"/>
        <v>75</v>
      </c>
      <c r="AI17" s="19">
        <f t="shared" si="15"/>
        <v>87.5</v>
      </c>
      <c r="AJ17" s="19">
        <f t="shared" si="16"/>
        <v>82</v>
      </c>
      <c r="AK17" s="19">
        <f t="shared" si="17"/>
        <v>263</v>
      </c>
    </row>
    <row r="18" spans="1:37">
      <c r="A18" s="30">
        <f t="shared" si="0"/>
        <v>45733</v>
      </c>
      <c r="B18" s="31">
        <v>45733</v>
      </c>
      <c r="C18" s="32" t="s">
        <v>161</v>
      </c>
      <c r="D18" s="33">
        <v>4.1666666666666664E-2</v>
      </c>
      <c r="E18" s="35">
        <f t="shared" si="5"/>
        <v>6.25E-2</v>
      </c>
      <c r="F18" s="34">
        <v>30</v>
      </c>
      <c r="G18" s="33">
        <v>0.16666666666666666</v>
      </c>
      <c r="H18" s="36">
        <f t="shared" si="6"/>
        <v>150</v>
      </c>
      <c r="I18" s="37">
        <f t="shared" si="7"/>
        <v>9.8611111111111108E-2</v>
      </c>
      <c r="J18" s="4">
        <v>7</v>
      </c>
      <c r="K18" s="7"/>
      <c r="L18" s="39">
        <v>4.027777777777778E-2</v>
      </c>
      <c r="M18" s="39" t="s">
        <v>175</v>
      </c>
      <c r="N18" s="33">
        <v>9.375E-2</v>
      </c>
      <c r="O18" s="109">
        <v>9.930555555555555E-2</v>
      </c>
      <c r="P18" s="7"/>
      <c r="Q18" s="13">
        <f t="shared" si="18"/>
        <v>37.999999999999993</v>
      </c>
      <c r="R18" s="13">
        <f t="shared" si="8"/>
        <v>39</v>
      </c>
      <c r="S18" s="40">
        <f t="shared" si="9"/>
        <v>-1.9999999999999929</v>
      </c>
      <c r="T18" s="4">
        <f t="shared" si="9"/>
        <v>5.9999999999999982</v>
      </c>
      <c r="U18" s="4">
        <f t="shared" si="10"/>
        <v>-104.99999999999999</v>
      </c>
      <c r="V18" s="4">
        <f t="shared" si="11"/>
        <v>-111</v>
      </c>
      <c r="W18" s="4">
        <f t="shared" si="12"/>
        <v>-97</v>
      </c>
      <c r="X18" s="111">
        <f t="shared" si="13"/>
        <v>7.9999999999999911</v>
      </c>
      <c r="Y18" s="15">
        <f t="shared" si="14"/>
        <v>103</v>
      </c>
      <c r="AB18" s="18">
        <v>0</v>
      </c>
      <c r="AC18" s="19">
        <f t="shared" si="1"/>
        <v>30</v>
      </c>
      <c r="AD18" s="19">
        <f t="shared" si="2"/>
        <v>180</v>
      </c>
      <c r="AE18" s="110">
        <v>110</v>
      </c>
      <c r="AF18" s="20">
        <f t="shared" si="3"/>
        <v>-1.9999999999999929</v>
      </c>
      <c r="AG18" s="19">
        <f t="shared" si="3"/>
        <v>36</v>
      </c>
      <c r="AH18" s="19">
        <f t="shared" si="4"/>
        <v>75</v>
      </c>
      <c r="AI18" s="19">
        <f t="shared" si="15"/>
        <v>87.5</v>
      </c>
      <c r="AJ18" s="19">
        <f t="shared" si="16"/>
        <v>82.999999999999986</v>
      </c>
      <c r="AK18" s="19">
        <f t="shared" si="17"/>
        <v>253</v>
      </c>
    </row>
    <row r="19" spans="1:37">
      <c r="A19" s="30">
        <f t="shared" si="0"/>
        <v>45734</v>
      </c>
      <c r="B19" s="31">
        <v>45734</v>
      </c>
      <c r="C19" s="32" t="s">
        <v>161</v>
      </c>
      <c r="D19" s="33">
        <v>4.1666666666666664E-2</v>
      </c>
      <c r="E19" s="35">
        <f t="shared" si="5"/>
        <v>6.25E-2</v>
      </c>
      <c r="F19" s="34">
        <v>30</v>
      </c>
      <c r="G19" s="33">
        <v>0.16666666666666666</v>
      </c>
      <c r="H19" s="36">
        <f t="shared" si="6"/>
        <v>150</v>
      </c>
      <c r="I19" s="37">
        <f t="shared" si="7"/>
        <v>9.5138888888888884E-2</v>
      </c>
      <c r="J19" s="4">
        <v>7</v>
      </c>
      <c r="K19" s="7"/>
      <c r="L19" s="39">
        <v>2.6388888888888889E-2</v>
      </c>
      <c r="M19" s="39" t="s">
        <v>176</v>
      </c>
      <c r="N19" s="33">
        <v>9.0277777777777776E-2</v>
      </c>
      <c r="O19" s="109">
        <v>9.5138888888888884E-2</v>
      </c>
      <c r="P19" s="7"/>
      <c r="Q19" s="13">
        <f t="shared" si="18"/>
        <v>51.999999999999993</v>
      </c>
      <c r="R19" s="13">
        <f t="shared" si="8"/>
        <v>40</v>
      </c>
      <c r="S19" s="40">
        <f t="shared" si="9"/>
        <v>-21.999999999999996</v>
      </c>
      <c r="T19" s="4">
        <f t="shared" si="9"/>
        <v>0</v>
      </c>
      <c r="U19" s="4">
        <f t="shared" si="10"/>
        <v>-109.99999999999999</v>
      </c>
      <c r="V19" s="4">
        <f t="shared" si="11"/>
        <v>-110</v>
      </c>
      <c r="W19" s="4">
        <f t="shared" si="12"/>
        <v>-103</v>
      </c>
      <c r="X19" s="13">
        <f t="shared" si="13"/>
        <v>6.9999999999999947</v>
      </c>
      <c r="Y19" s="15">
        <f t="shared" si="14"/>
        <v>87.999999999999986</v>
      </c>
      <c r="AB19" s="18">
        <v>0</v>
      </c>
      <c r="AC19" s="19">
        <f t="shared" si="1"/>
        <v>30</v>
      </c>
      <c r="AD19" s="19">
        <f t="shared" si="2"/>
        <v>180</v>
      </c>
      <c r="AE19" s="110">
        <v>110</v>
      </c>
      <c r="AF19" s="20">
        <f t="shared" si="3"/>
        <v>-21.999999999999996</v>
      </c>
      <c r="AG19" s="19">
        <f t="shared" si="3"/>
        <v>30</v>
      </c>
      <c r="AH19" s="19">
        <f t="shared" si="4"/>
        <v>70</v>
      </c>
      <c r="AI19" s="19">
        <f t="shared" si="15"/>
        <v>85</v>
      </c>
      <c r="AJ19" s="19">
        <f t="shared" si="16"/>
        <v>77</v>
      </c>
      <c r="AK19" s="19">
        <f t="shared" si="17"/>
        <v>238</v>
      </c>
    </row>
    <row r="20" spans="1:37">
      <c r="A20" s="30">
        <f t="shared" si="0"/>
        <v>45735</v>
      </c>
      <c r="B20" s="31">
        <v>45735</v>
      </c>
      <c r="C20" s="32" t="s">
        <v>161</v>
      </c>
      <c r="D20" s="33">
        <v>4.1666666666666664E-2</v>
      </c>
      <c r="E20" s="35">
        <f t="shared" si="5"/>
        <v>6.25E-2</v>
      </c>
      <c r="F20" s="34">
        <v>30</v>
      </c>
      <c r="G20" s="33">
        <v>0.16666666666666666</v>
      </c>
      <c r="H20" s="36">
        <f t="shared" si="6"/>
        <v>150</v>
      </c>
      <c r="I20" s="37">
        <f t="shared" si="7"/>
        <v>0.11666666666666667</v>
      </c>
      <c r="J20" s="4">
        <v>7</v>
      </c>
      <c r="K20" s="7"/>
      <c r="L20" s="39">
        <v>3.888888888888889E-2</v>
      </c>
      <c r="M20" s="39" t="s">
        <v>177</v>
      </c>
      <c r="N20" s="33">
        <v>0.11180555555555556</v>
      </c>
      <c r="O20" s="109">
        <v>0.11666666666666667</v>
      </c>
      <c r="P20" s="7"/>
      <c r="Q20" s="13">
        <f t="shared" si="18"/>
        <v>62</v>
      </c>
      <c r="R20" s="13">
        <f t="shared" si="8"/>
        <v>43.000000000000007</v>
      </c>
      <c r="S20" s="40">
        <f t="shared" si="9"/>
        <v>-3.9999999999999956</v>
      </c>
      <c r="T20" s="4">
        <f t="shared" si="9"/>
        <v>28</v>
      </c>
      <c r="U20" s="4">
        <f t="shared" si="10"/>
        <v>-78.999999999999986</v>
      </c>
      <c r="V20" s="4">
        <f t="shared" si="11"/>
        <v>-107</v>
      </c>
      <c r="W20" s="4">
        <f t="shared" si="12"/>
        <v>-71.999999999999986</v>
      </c>
      <c r="X20" s="13">
        <f t="shared" si="13"/>
        <v>6.9999999999999947</v>
      </c>
      <c r="Y20" s="15">
        <f t="shared" si="14"/>
        <v>74.999999999999986</v>
      </c>
      <c r="AB20" s="18">
        <v>0</v>
      </c>
      <c r="AC20" s="19">
        <f t="shared" si="1"/>
        <v>30</v>
      </c>
      <c r="AD20" s="19">
        <f t="shared" si="2"/>
        <v>180</v>
      </c>
      <c r="AE20" s="110">
        <v>110</v>
      </c>
      <c r="AF20" s="20">
        <f t="shared" si="3"/>
        <v>-3.9999999999999956</v>
      </c>
      <c r="AG20" s="19">
        <f t="shared" si="3"/>
        <v>58</v>
      </c>
      <c r="AH20" s="19">
        <f t="shared" si="4"/>
        <v>101</v>
      </c>
      <c r="AI20" s="19">
        <f t="shared" si="15"/>
        <v>100.5</v>
      </c>
      <c r="AJ20" s="19">
        <f t="shared" si="16"/>
        <v>108</v>
      </c>
      <c r="AK20" s="19">
        <f t="shared" si="17"/>
        <v>225</v>
      </c>
    </row>
    <row r="21" spans="1:37">
      <c r="A21" s="30">
        <f t="shared" si="0"/>
        <v>45736</v>
      </c>
      <c r="B21" s="31">
        <v>45736</v>
      </c>
      <c r="C21" s="32" t="s">
        <v>161</v>
      </c>
      <c r="D21" s="33">
        <v>4.1666666666666664E-2</v>
      </c>
      <c r="E21" s="35">
        <f t="shared" si="5"/>
        <v>6.25E-2</v>
      </c>
      <c r="F21" s="34">
        <v>30</v>
      </c>
      <c r="G21" s="33">
        <v>0.16666666666666666</v>
      </c>
      <c r="H21" s="36">
        <f t="shared" si="6"/>
        <v>150</v>
      </c>
      <c r="I21" s="37">
        <f t="shared" si="7"/>
        <v>6.7361111111111108E-2</v>
      </c>
      <c r="J21" s="4">
        <v>7</v>
      </c>
      <c r="K21" s="7"/>
      <c r="L21" s="39">
        <v>1.1805555555555555E-2</v>
      </c>
      <c r="M21" s="39" t="s">
        <v>178</v>
      </c>
      <c r="N21" s="33">
        <v>6.25E-2</v>
      </c>
      <c r="O21" s="109">
        <v>6.7361111111111108E-2</v>
      </c>
      <c r="P21" s="7"/>
      <c r="Q21" s="13">
        <f t="shared" si="18"/>
        <v>31</v>
      </c>
      <c r="R21" s="13">
        <f t="shared" si="8"/>
        <v>42</v>
      </c>
      <c r="S21" s="40">
        <f t="shared" si="9"/>
        <v>-43</v>
      </c>
      <c r="T21" s="4">
        <f t="shared" si="9"/>
        <v>-42</v>
      </c>
      <c r="U21" s="4">
        <f t="shared" si="10"/>
        <v>-150</v>
      </c>
      <c r="V21" s="4">
        <f t="shared" si="11"/>
        <v>-108</v>
      </c>
      <c r="W21" s="4">
        <f t="shared" si="12"/>
        <v>-143</v>
      </c>
      <c r="X21" s="13">
        <f t="shared" si="13"/>
        <v>6.9999999999999947</v>
      </c>
      <c r="Y21" s="15">
        <f t="shared" si="14"/>
        <v>107</v>
      </c>
      <c r="AB21" s="18">
        <v>0</v>
      </c>
      <c r="AC21" s="19">
        <f t="shared" si="1"/>
        <v>30</v>
      </c>
      <c r="AD21" s="19">
        <f t="shared" si="2"/>
        <v>180</v>
      </c>
      <c r="AE21" s="110">
        <v>110</v>
      </c>
      <c r="AF21" s="20">
        <f t="shared" si="3"/>
        <v>-43</v>
      </c>
      <c r="AG21" s="19">
        <f t="shared" si="3"/>
        <v>-12</v>
      </c>
      <c r="AH21" s="19">
        <f t="shared" si="4"/>
        <v>30</v>
      </c>
      <c r="AI21" s="19">
        <f t="shared" si="15"/>
        <v>65</v>
      </c>
      <c r="AJ21" s="19">
        <f t="shared" si="16"/>
        <v>36.999999999999993</v>
      </c>
      <c r="AK21" s="19">
        <f t="shared" si="17"/>
        <v>257</v>
      </c>
    </row>
    <row r="22" spans="1:37">
      <c r="A22" s="30">
        <f t="shared" si="0"/>
        <v>45737</v>
      </c>
      <c r="B22" s="31">
        <v>45737</v>
      </c>
      <c r="C22" s="32" t="s">
        <v>161</v>
      </c>
      <c r="D22" s="33">
        <v>4.1666666666666664E-2</v>
      </c>
      <c r="E22" s="35">
        <f t="shared" si="5"/>
        <v>6.25E-2</v>
      </c>
      <c r="F22" s="34">
        <v>30</v>
      </c>
      <c r="G22" s="33">
        <v>0.16666666666666666</v>
      </c>
      <c r="H22" s="36">
        <f t="shared" si="6"/>
        <v>150</v>
      </c>
      <c r="I22" s="37">
        <f t="shared" si="7"/>
        <v>6.1111111111111116E-2</v>
      </c>
      <c r="J22" s="4">
        <v>7</v>
      </c>
      <c r="K22" s="7"/>
      <c r="L22" s="39">
        <v>1.5972222222222224E-2</v>
      </c>
      <c r="M22" s="39" t="s">
        <v>162</v>
      </c>
      <c r="N22" s="33">
        <v>5.6250000000000001E-2</v>
      </c>
      <c r="O22" s="109">
        <v>6.1111111111111109E-2</v>
      </c>
      <c r="P22" s="7"/>
      <c r="Q22" s="13">
        <f t="shared" si="18"/>
        <v>16.999999999999993</v>
      </c>
      <c r="R22" s="13">
        <f t="shared" si="8"/>
        <v>41.000000000000007</v>
      </c>
      <c r="S22" s="40">
        <f t="shared" si="9"/>
        <v>-36.999999999999993</v>
      </c>
      <c r="T22" s="4">
        <f t="shared" si="9"/>
        <v>-50</v>
      </c>
      <c r="U22" s="4">
        <f t="shared" si="10"/>
        <v>-159</v>
      </c>
      <c r="V22" s="4">
        <f t="shared" si="11"/>
        <v>-109</v>
      </c>
      <c r="W22" s="4">
        <f t="shared" si="12"/>
        <v>-151.99999999999997</v>
      </c>
      <c r="X22" s="13">
        <f t="shared" si="13"/>
        <v>6.9999999999999947</v>
      </c>
      <c r="Y22" s="15">
        <f t="shared" si="14"/>
        <v>122</v>
      </c>
      <c r="AB22" s="18">
        <v>0</v>
      </c>
      <c r="AC22" s="19">
        <f t="shared" si="1"/>
        <v>30</v>
      </c>
      <c r="AD22" s="19">
        <f t="shared" si="2"/>
        <v>180</v>
      </c>
      <c r="AE22" s="110">
        <v>110</v>
      </c>
      <c r="AF22" s="20">
        <f t="shared" si="3"/>
        <v>-36.999999999999993</v>
      </c>
      <c r="AG22" s="19">
        <f t="shared" si="3"/>
        <v>-20</v>
      </c>
      <c r="AH22" s="19">
        <f t="shared" si="4"/>
        <v>21.000000000000007</v>
      </c>
      <c r="AI22" s="19">
        <f t="shared" si="15"/>
        <v>60.5</v>
      </c>
      <c r="AJ22" s="19">
        <f t="shared" si="16"/>
        <v>28</v>
      </c>
      <c r="AK22" s="19">
        <f t="shared" si="17"/>
        <v>272</v>
      </c>
    </row>
    <row r="23" spans="1:37">
      <c r="A23" s="30">
        <f t="shared" si="0"/>
        <v>45738</v>
      </c>
      <c r="B23" s="31">
        <v>45738</v>
      </c>
      <c r="C23" s="32" t="s">
        <v>161</v>
      </c>
      <c r="D23" s="33">
        <v>4.1666666666666664E-2</v>
      </c>
      <c r="E23" s="35">
        <f t="shared" si="5"/>
        <v>6.25E-2</v>
      </c>
      <c r="F23" s="34">
        <v>30</v>
      </c>
      <c r="G23" s="33">
        <v>0.16666666666666666</v>
      </c>
      <c r="H23" s="36">
        <f t="shared" si="6"/>
        <v>150</v>
      </c>
      <c r="I23" s="37">
        <f t="shared" si="7"/>
        <v>6.5972222222222224E-2</v>
      </c>
      <c r="J23" s="4">
        <v>7</v>
      </c>
      <c r="K23" s="7"/>
      <c r="L23" s="39">
        <v>2.0833333333333332E-2</v>
      </c>
      <c r="M23" s="39" t="s">
        <v>139</v>
      </c>
      <c r="N23" s="33">
        <v>6.1111111111111116E-2</v>
      </c>
      <c r="O23" s="109">
        <v>6.5972222222222224E-2</v>
      </c>
      <c r="P23" s="7"/>
      <c r="Q23" s="13">
        <f t="shared" si="18"/>
        <v>15.999999999999998</v>
      </c>
      <c r="R23" s="13">
        <f t="shared" si="8"/>
        <v>42.000000000000014</v>
      </c>
      <c r="S23" s="40">
        <f t="shared" si="9"/>
        <v>-30</v>
      </c>
      <c r="T23" s="4">
        <f t="shared" si="9"/>
        <v>-44</v>
      </c>
      <c r="U23" s="4">
        <f t="shared" si="10"/>
        <v>-151.99999999999997</v>
      </c>
      <c r="V23" s="4">
        <f t="shared" si="11"/>
        <v>-107.99999999999999</v>
      </c>
      <c r="W23" s="4">
        <f t="shared" si="12"/>
        <v>-144.99999999999997</v>
      </c>
      <c r="X23" s="111">
        <f t="shared" si="13"/>
        <v>6.9999999999999947</v>
      </c>
      <c r="Y23" s="15">
        <f t="shared" si="14"/>
        <v>121.99999999999997</v>
      </c>
      <c r="AB23" s="18">
        <v>0</v>
      </c>
      <c r="AC23" s="19">
        <f t="shared" si="1"/>
        <v>30</v>
      </c>
      <c r="AD23" s="19">
        <f t="shared" si="2"/>
        <v>180</v>
      </c>
      <c r="AE23" s="110">
        <v>110</v>
      </c>
      <c r="AF23" s="20">
        <f t="shared" si="3"/>
        <v>-30</v>
      </c>
      <c r="AG23" s="19">
        <f t="shared" si="3"/>
        <v>-14</v>
      </c>
      <c r="AH23" s="19">
        <f t="shared" si="4"/>
        <v>28.000000000000014</v>
      </c>
      <c r="AI23" s="19">
        <f t="shared" si="15"/>
        <v>64</v>
      </c>
      <c r="AJ23" s="19">
        <f t="shared" si="16"/>
        <v>35.000000000000007</v>
      </c>
      <c r="AK23" s="19">
        <f t="shared" si="17"/>
        <v>272</v>
      </c>
    </row>
    <row r="24" spans="1:37">
      <c r="A24" s="30">
        <f t="shared" si="0"/>
        <v>45739</v>
      </c>
      <c r="B24" s="31">
        <v>45739</v>
      </c>
      <c r="C24" s="32" t="s">
        <v>161</v>
      </c>
      <c r="D24" s="33">
        <v>4.1666666666666664E-2</v>
      </c>
      <c r="E24" s="35">
        <f t="shared" si="5"/>
        <v>6.25E-2</v>
      </c>
      <c r="F24" s="34">
        <v>30</v>
      </c>
      <c r="G24" s="33">
        <v>0.16666666666666666</v>
      </c>
      <c r="H24" s="36">
        <f t="shared" si="6"/>
        <v>150</v>
      </c>
      <c r="I24" s="37">
        <f t="shared" si="7"/>
        <v>0.11388888888888889</v>
      </c>
      <c r="J24" s="4">
        <v>7</v>
      </c>
      <c r="K24" s="7"/>
      <c r="L24" s="39">
        <v>4.1666666666666664E-2</v>
      </c>
      <c r="M24" s="39" t="s">
        <v>163</v>
      </c>
      <c r="N24" s="33">
        <v>0.10902777777777778</v>
      </c>
      <c r="O24" s="109">
        <v>0.11388888888888889</v>
      </c>
      <c r="P24" s="7"/>
      <c r="Q24" s="13">
        <f t="shared" si="18"/>
        <v>52.000000000000007</v>
      </c>
      <c r="R24" s="13">
        <f t="shared" si="8"/>
        <v>45</v>
      </c>
      <c r="S24" s="40">
        <f t="shared" si="9"/>
        <v>0</v>
      </c>
      <c r="T24" s="4">
        <f t="shared" si="9"/>
        <v>22</v>
      </c>
      <c r="U24" s="4">
        <f t="shared" si="10"/>
        <v>-82.999999999999986</v>
      </c>
      <c r="V24" s="4">
        <f t="shared" si="11"/>
        <v>-105</v>
      </c>
      <c r="W24" s="4">
        <f t="shared" si="12"/>
        <v>-75.999999999999986</v>
      </c>
      <c r="X24" s="13">
        <f t="shared" si="13"/>
        <v>6.9999999999999947</v>
      </c>
      <c r="Y24" s="15">
        <f t="shared" si="14"/>
        <v>82.999999999999986</v>
      </c>
      <c r="AB24" s="18">
        <v>0</v>
      </c>
      <c r="AC24" s="19">
        <f t="shared" si="1"/>
        <v>30</v>
      </c>
      <c r="AD24" s="19">
        <f t="shared" si="2"/>
        <v>180</v>
      </c>
      <c r="AE24" s="110">
        <v>110</v>
      </c>
      <c r="AF24" s="20">
        <f t="shared" si="3"/>
        <v>0</v>
      </c>
      <c r="AG24" s="19">
        <f t="shared" si="3"/>
        <v>52</v>
      </c>
      <c r="AH24" s="19">
        <f t="shared" si="4"/>
        <v>97</v>
      </c>
      <c r="AI24" s="19">
        <f t="shared" si="15"/>
        <v>98.5</v>
      </c>
      <c r="AJ24" s="19">
        <f t="shared" si="16"/>
        <v>104</v>
      </c>
      <c r="AK24" s="19">
        <f t="shared" si="17"/>
        <v>233</v>
      </c>
    </row>
    <row r="25" spans="1:37">
      <c r="A25" s="30">
        <f t="shared" si="0"/>
        <v>45740</v>
      </c>
      <c r="B25" s="31">
        <v>45740</v>
      </c>
      <c r="C25" s="32" t="s">
        <v>161</v>
      </c>
      <c r="D25" s="33">
        <v>4.1666666666666664E-2</v>
      </c>
      <c r="E25" s="35">
        <f t="shared" si="5"/>
        <v>6.25E-2</v>
      </c>
      <c r="F25" s="34">
        <v>30</v>
      </c>
      <c r="G25" s="33">
        <v>0.16666666666666666</v>
      </c>
      <c r="H25" s="36">
        <f t="shared" si="6"/>
        <v>150</v>
      </c>
      <c r="I25" s="37">
        <f t="shared" si="7"/>
        <v>9.7222222222222224E-2</v>
      </c>
      <c r="J25" s="4">
        <v>7</v>
      </c>
      <c r="K25" s="7"/>
      <c r="L25" s="39">
        <v>4.5833333333333337E-2</v>
      </c>
      <c r="M25" s="39" t="s">
        <v>176</v>
      </c>
      <c r="N25" s="33">
        <v>9.2361111111111116E-2</v>
      </c>
      <c r="O25" s="109">
        <v>9.7222222222222224E-2</v>
      </c>
      <c r="P25" s="7"/>
      <c r="Q25" s="13">
        <f t="shared" si="18"/>
        <v>23.999999999999993</v>
      </c>
      <c r="R25" s="13">
        <f t="shared" si="8"/>
        <v>43.000000000000007</v>
      </c>
      <c r="S25" s="40">
        <f t="shared" si="9"/>
        <v>6.0000000000000089</v>
      </c>
      <c r="T25" s="4">
        <f t="shared" si="9"/>
        <v>0</v>
      </c>
      <c r="U25" s="4">
        <f t="shared" si="10"/>
        <v>-106.99999999999999</v>
      </c>
      <c r="V25" s="4">
        <f t="shared" si="11"/>
        <v>-107</v>
      </c>
      <c r="W25" s="4">
        <f t="shared" si="12"/>
        <v>-99.999999999999986</v>
      </c>
      <c r="X25" s="13">
        <f t="shared" si="13"/>
        <v>6.9999999999999947</v>
      </c>
      <c r="Y25" s="15">
        <f t="shared" si="14"/>
        <v>113</v>
      </c>
      <c r="AB25" s="18">
        <v>0</v>
      </c>
      <c r="AC25" s="19">
        <f t="shared" si="1"/>
        <v>30</v>
      </c>
      <c r="AD25" s="19">
        <f t="shared" si="2"/>
        <v>180</v>
      </c>
      <c r="AE25" s="110">
        <v>110</v>
      </c>
      <c r="AF25" s="20">
        <f t="shared" si="3"/>
        <v>6.0000000000000089</v>
      </c>
      <c r="AG25" s="19">
        <f t="shared" si="3"/>
        <v>30</v>
      </c>
      <c r="AH25" s="19">
        <f t="shared" si="4"/>
        <v>73</v>
      </c>
      <c r="AI25" s="19">
        <f t="shared" si="15"/>
        <v>86.5</v>
      </c>
      <c r="AJ25" s="19">
        <f t="shared" si="16"/>
        <v>80</v>
      </c>
      <c r="AK25" s="19">
        <f t="shared" si="17"/>
        <v>263</v>
      </c>
    </row>
    <row r="26" spans="1:37">
      <c r="A26" s="30">
        <f t="shared" si="0"/>
        <v>45741</v>
      </c>
      <c r="B26" s="31">
        <v>45741</v>
      </c>
      <c r="C26" s="32" t="s">
        <v>161</v>
      </c>
      <c r="D26" s="33">
        <v>4.1666666666666664E-2</v>
      </c>
      <c r="E26" s="35">
        <f t="shared" si="5"/>
        <v>6.25E-2</v>
      </c>
      <c r="F26" s="34">
        <v>30</v>
      </c>
      <c r="G26" s="33">
        <v>0.16666666666666666</v>
      </c>
      <c r="H26" s="36">
        <f t="shared" si="6"/>
        <v>150</v>
      </c>
      <c r="I26" s="37">
        <f t="shared" si="7"/>
        <v>0.10138888888888888</v>
      </c>
      <c r="J26" s="4">
        <v>7</v>
      </c>
      <c r="K26" s="7"/>
      <c r="L26" s="39">
        <v>3.8194444444444441E-2</v>
      </c>
      <c r="M26" s="39" t="s">
        <v>174</v>
      </c>
      <c r="N26" s="33">
        <v>9.6527777777777768E-2</v>
      </c>
      <c r="O26" s="109">
        <v>0.10138888888888889</v>
      </c>
      <c r="P26" s="7"/>
      <c r="Q26" s="13">
        <f t="shared" si="18"/>
        <v>40.000000000000007</v>
      </c>
      <c r="R26" s="13">
        <f t="shared" si="8"/>
        <v>43.999999999999986</v>
      </c>
      <c r="S26" s="40">
        <f t="shared" si="9"/>
        <v>-5.0000000000000018</v>
      </c>
      <c r="T26" s="4">
        <f t="shared" si="9"/>
        <v>5.0000000000000018</v>
      </c>
      <c r="U26" s="4">
        <f t="shared" si="10"/>
        <v>-101</v>
      </c>
      <c r="V26" s="4">
        <f t="shared" si="11"/>
        <v>-106.00000000000001</v>
      </c>
      <c r="W26" s="4">
        <f t="shared" si="12"/>
        <v>-93.999999999999986</v>
      </c>
      <c r="X26" s="13">
        <f t="shared" si="13"/>
        <v>7.0000000000000151</v>
      </c>
      <c r="Y26" s="15">
        <f t="shared" si="14"/>
        <v>96</v>
      </c>
      <c r="AB26" s="18">
        <v>0</v>
      </c>
      <c r="AC26" s="19">
        <f t="shared" si="1"/>
        <v>30</v>
      </c>
      <c r="AD26" s="19">
        <f t="shared" si="2"/>
        <v>180</v>
      </c>
      <c r="AE26" s="110">
        <v>110</v>
      </c>
      <c r="AF26" s="20">
        <f t="shared" si="3"/>
        <v>-5.0000000000000018</v>
      </c>
      <c r="AG26" s="19">
        <f t="shared" si="3"/>
        <v>35</v>
      </c>
      <c r="AH26" s="19">
        <f t="shared" si="4"/>
        <v>78.999999999999986</v>
      </c>
      <c r="AI26" s="19">
        <f t="shared" si="15"/>
        <v>89.5</v>
      </c>
      <c r="AJ26" s="19">
        <f t="shared" si="16"/>
        <v>86</v>
      </c>
      <c r="AK26" s="19">
        <f t="shared" si="17"/>
        <v>246</v>
      </c>
    </row>
    <row r="27" spans="1:37">
      <c r="A27" s="30">
        <f t="shared" si="0"/>
        <v>45742</v>
      </c>
      <c r="B27" s="31">
        <v>45742</v>
      </c>
      <c r="C27" s="32" t="s">
        <v>161</v>
      </c>
      <c r="D27" s="33">
        <v>4.1666666666666664E-2</v>
      </c>
      <c r="E27" s="35">
        <f t="shared" si="5"/>
        <v>6.25E-2</v>
      </c>
      <c r="F27" s="34">
        <v>30</v>
      </c>
      <c r="G27" s="33">
        <v>0.16666666666666666</v>
      </c>
      <c r="H27" s="36">
        <f t="shared" si="6"/>
        <v>150</v>
      </c>
      <c r="I27" s="37">
        <f t="shared" si="7"/>
        <v>0.1125</v>
      </c>
      <c r="J27" s="4">
        <v>7</v>
      </c>
      <c r="K27" s="7"/>
      <c r="L27" s="39">
        <v>4.7916666666666663E-2</v>
      </c>
      <c r="M27" s="39" t="s">
        <v>163</v>
      </c>
      <c r="N27" s="33">
        <v>0.1076388888888889</v>
      </c>
      <c r="O27" s="109">
        <v>0.11180555555555556</v>
      </c>
      <c r="P27" s="7"/>
      <c r="Q27" s="13">
        <f t="shared" si="18"/>
        <v>43.000000000000007</v>
      </c>
      <c r="R27" s="13">
        <f t="shared" si="8"/>
        <v>43.000000000000007</v>
      </c>
      <c r="S27" s="40">
        <f t="shared" si="9"/>
        <v>8.9999999999999982</v>
      </c>
      <c r="T27" s="4">
        <f t="shared" si="9"/>
        <v>22</v>
      </c>
      <c r="U27" s="4">
        <f t="shared" si="10"/>
        <v>-84.999999999999972</v>
      </c>
      <c r="V27" s="4">
        <f t="shared" si="11"/>
        <v>-107</v>
      </c>
      <c r="W27" s="4">
        <f t="shared" si="12"/>
        <v>-78.999999999999986</v>
      </c>
      <c r="X27" s="13">
        <f t="shared" si="13"/>
        <v>5.9999999999999982</v>
      </c>
      <c r="Y27" s="15">
        <f t="shared" si="14"/>
        <v>93.999999999999972</v>
      </c>
      <c r="AB27" s="18">
        <v>0</v>
      </c>
      <c r="AC27" s="19">
        <f t="shared" si="1"/>
        <v>30</v>
      </c>
      <c r="AD27" s="19">
        <f t="shared" si="2"/>
        <v>180</v>
      </c>
      <c r="AE27" s="110">
        <v>110</v>
      </c>
      <c r="AF27" s="20">
        <f t="shared" si="3"/>
        <v>8.9999999999999982</v>
      </c>
      <c r="AG27" s="19">
        <f t="shared" si="3"/>
        <v>52</v>
      </c>
      <c r="AH27" s="19">
        <f t="shared" si="4"/>
        <v>95</v>
      </c>
      <c r="AI27" s="19">
        <f t="shared" si="15"/>
        <v>97.5</v>
      </c>
      <c r="AJ27" s="19">
        <f t="shared" si="16"/>
        <v>101</v>
      </c>
      <c r="AK27" s="19">
        <f t="shared" si="17"/>
        <v>243.99999999999997</v>
      </c>
    </row>
    <row r="28" spans="1:37">
      <c r="A28" s="30">
        <f t="shared" si="0"/>
        <v>45743</v>
      </c>
      <c r="B28" s="31">
        <v>45743</v>
      </c>
      <c r="C28" s="32" t="s">
        <v>161</v>
      </c>
      <c r="D28" s="33">
        <v>4.1666666666666664E-2</v>
      </c>
      <c r="E28" s="35">
        <f t="shared" si="5"/>
        <v>6.25E-2</v>
      </c>
      <c r="F28" s="34">
        <v>30</v>
      </c>
      <c r="G28" s="33">
        <v>0.16666666666666666</v>
      </c>
      <c r="H28" s="36">
        <f t="shared" si="6"/>
        <v>150</v>
      </c>
      <c r="I28" s="37">
        <f t="shared" si="7"/>
        <v>0.1388888888888889</v>
      </c>
      <c r="J28" s="4">
        <v>7</v>
      </c>
      <c r="K28" s="7"/>
      <c r="L28" s="39">
        <v>6.3888888888888884E-2</v>
      </c>
      <c r="M28" s="39" t="s">
        <v>179</v>
      </c>
      <c r="N28" s="33">
        <v>0.13402777777777777</v>
      </c>
      <c r="O28" s="109">
        <v>0.13819444444444445</v>
      </c>
      <c r="P28" s="7"/>
      <c r="Q28" s="13">
        <f t="shared" si="18"/>
        <v>58.000000000000014</v>
      </c>
      <c r="R28" s="13">
        <f t="shared" si="8"/>
        <v>42.999999999999986</v>
      </c>
      <c r="S28" s="40">
        <f t="shared" si="9"/>
        <v>31.999999999999996</v>
      </c>
      <c r="T28" s="4">
        <f t="shared" si="9"/>
        <v>60.000000000000007</v>
      </c>
      <c r="U28" s="4">
        <f t="shared" si="10"/>
        <v>-46.999999999999993</v>
      </c>
      <c r="V28" s="4">
        <f t="shared" si="11"/>
        <v>-107.00000000000001</v>
      </c>
      <c r="W28" s="4">
        <f t="shared" si="12"/>
        <v>-40.999999999999972</v>
      </c>
      <c r="X28" s="13">
        <f t="shared" si="13"/>
        <v>6.0000000000000187</v>
      </c>
      <c r="Y28" s="15">
        <f t="shared" si="14"/>
        <v>78.999999999999986</v>
      </c>
      <c r="AB28" s="18">
        <v>0</v>
      </c>
      <c r="AC28" s="19">
        <f t="shared" si="1"/>
        <v>30</v>
      </c>
      <c r="AD28" s="19">
        <f t="shared" si="2"/>
        <v>180</v>
      </c>
      <c r="AE28" s="110">
        <v>110</v>
      </c>
      <c r="AF28" s="20">
        <f t="shared" si="3"/>
        <v>31.999999999999996</v>
      </c>
      <c r="AG28" s="19">
        <f t="shared" si="3"/>
        <v>90</v>
      </c>
      <c r="AH28" s="19">
        <f t="shared" si="4"/>
        <v>133</v>
      </c>
      <c r="AI28" s="19">
        <f t="shared" si="15"/>
        <v>116.5</v>
      </c>
      <c r="AJ28" s="19">
        <f t="shared" si="16"/>
        <v>139.00000000000003</v>
      </c>
      <c r="AK28" s="19">
        <f t="shared" si="17"/>
        <v>229</v>
      </c>
    </row>
    <row r="29" spans="1:37">
      <c r="A29" s="30">
        <f t="shared" si="0"/>
        <v>45744</v>
      </c>
      <c r="B29" s="31">
        <v>45744</v>
      </c>
      <c r="C29" s="32" t="s">
        <v>161</v>
      </c>
      <c r="D29" s="33">
        <v>4.1666666666666664E-2</v>
      </c>
      <c r="E29" s="35">
        <f t="shared" si="5"/>
        <v>6.25E-2</v>
      </c>
      <c r="F29" s="34">
        <v>30</v>
      </c>
      <c r="G29" s="33">
        <v>0.16666666666666666</v>
      </c>
      <c r="H29" s="36">
        <f t="shared" si="6"/>
        <v>150</v>
      </c>
      <c r="I29" s="37">
        <f t="shared" si="7"/>
        <v>6.3888888888888898E-2</v>
      </c>
      <c r="J29" s="4">
        <v>7</v>
      </c>
      <c r="K29" s="7"/>
      <c r="L29" s="39">
        <v>1.6666666666666666E-2</v>
      </c>
      <c r="M29" s="39" t="s">
        <v>88</v>
      </c>
      <c r="N29" s="33">
        <v>5.9027777777777783E-2</v>
      </c>
      <c r="O29" s="109">
        <v>6.3888888888888884E-2</v>
      </c>
      <c r="P29" s="7"/>
      <c r="Q29" s="13">
        <f t="shared" si="18"/>
        <v>20</v>
      </c>
      <c r="R29" s="13">
        <f t="shared" si="8"/>
        <v>41.000000000000007</v>
      </c>
      <c r="S29" s="40">
        <f t="shared" si="9"/>
        <v>-36</v>
      </c>
      <c r="T29" s="4">
        <f t="shared" si="9"/>
        <v>-46</v>
      </c>
      <c r="U29" s="4">
        <f t="shared" si="10"/>
        <v>-154.99999999999997</v>
      </c>
      <c r="V29" s="4">
        <f t="shared" si="11"/>
        <v>-109</v>
      </c>
      <c r="W29" s="4">
        <f t="shared" si="12"/>
        <v>-148</v>
      </c>
      <c r="X29" s="13">
        <f t="shared" si="13"/>
        <v>6.9999999999999849</v>
      </c>
      <c r="Y29" s="15">
        <f t="shared" si="14"/>
        <v>118.99999999999997</v>
      </c>
      <c r="AB29" s="18">
        <v>0</v>
      </c>
      <c r="AC29" s="19">
        <f t="shared" si="1"/>
        <v>30</v>
      </c>
      <c r="AD29" s="19">
        <f t="shared" si="2"/>
        <v>180</v>
      </c>
      <c r="AE29" s="110">
        <v>110</v>
      </c>
      <c r="AF29" s="20">
        <f t="shared" si="3"/>
        <v>-36</v>
      </c>
      <c r="AG29" s="19">
        <f t="shared" si="3"/>
        <v>-16</v>
      </c>
      <c r="AH29" s="19">
        <f t="shared" si="4"/>
        <v>25.000000000000007</v>
      </c>
      <c r="AI29" s="19">
        <f t="shared" si="15"/>
        <v>62.5</v>
      </c>
      <c r="AJ29" s="19">
        <f t="shared" si="16"/>
        <v>31.999999999999993</v>
      </c>
      <c r="AK29" s="19">
        <f t="shared" si="17"/>
        <v>269</v>
      </c>
    </row>
    <row r="30" spans="1:37">
      <c r="A30" s="30">
        <f t="shared" si="0"/>
        <v>45745</v>
      </c>
      <c r="B30" s="31">
        <v>45745</v>
      </c>
      <c r="C30" s="32" t="s">
        <v>161</v>
      </c>
      <c r="D30" s="33">
        <v>4.1666666666666664E-2</v>
      </c>
      <c r="E30" s="35">
        <f t="shared" si="5"/>
        <v>6.25E-2</v>
      </c>
      <c r="F30" s="34">
        <v>30</v>
      </c>
      <c r="G30" s="33">
        <v>0.16666666666666666</v>
      </c>
      <c r="H30" s="36">
        <f t="shared" si="6"/>
        <v>150</v>
      </c>
      <c r="I30" s="37">
        <f t="shared" si="7"/>
        <v>7.2916666666666657E-2</v>
      </c>
      <c r="J30" s="4">
        <v>7</v>
      </c>
      <c r="K30" s="7"/>
      <c r="L30" s="39">
        <v>1.1111111111111112E-2</v>
      </c>
      <c r="M30" s="39" t="s">
        <v>139</v>
      </c>
      <c r="N30" s="33">
        <v>6.805555555555555E-2</v>
      </c>
      <c r="O30" s="109">
        <v>7.2916666666666671E-2</v>
      </c>
      <c r="P30" s="7"/>
      <c r="Q30" s="13">
        <f t="shared" si="18"/>
        <v>29.999999999999993</v>
      </c>
      <c r="R30" s="13">
        <f t="shared" si="8"/>
        <v>51.999999999999993</v>
      </c>
      <c r="S30" s="40">
        <f t="shared" ref="S30:T31" si="19">((L30-D30)*1440)</f>
        <v>-43.999999999999993</v>
      </c>
      <c r="T30" s="4">
        <f t="shared" si="19"/>
        <v>-44</v>
      </c>
      <c r="U30" s="4">
        <f t="shared" si="10"/>
        <v>-142</v>
      </c>
      <c r="V30" s="4">
        <f t="shared" si="11"/>
        <v>-98</v>
      </c>
      <c r="W30" s="4">
        <f t="shared" si="12"/>
        <v>-134.99999999999997</v>
      </c>
      <c r="X30" s="13">
        <f t="shared" si="13"/>
        <v>7.0000000000000151</v>
      </c>
      <c r="Y30" s="15">
        <f t="shared" si="14"/>
        <v>98</v>
      </c>
      <c r="AB30" s="18">
        <v>0</v>
      </c>
      <c r="AC30" s="19">
        <f t="shared" si="1"/>
        <v>30</v>
      </c>
      <c r="AD30" s="19">
        <f t="shared" si="2"/>
        <v>180</v>
      </c>
      <c r="AE30" s="110">
        <v>110</v>
      </c>
      <c r="AF30" s="20">
        <f t="shared" ref="AF30:AG32" si="20">AB30+S30</f>
        <v>-43.999999999999993</v>
      </c>
      <c r="AG30" s="19">
        <f t="shared" si="20"/>
        <v>-14</v>
      </c>
      <c r="AH30" s="19">
        <f t="shared" si="4"/>
        <v>37.999999999999993</v>
      </c>
      <c r="AI30" s="19">
        <f t="shared" si="15"/>
        <v>69</v>
      </c>
      <c r="AJ30" s="19">
        <f t="shared" si="16"/>
        <v>45.000000000000007</v>
      </c>
      <c r="AK30" s="19">
        <f t="shared" si="17"/>
        <v>248</v>
      </c>
    </row>
    <row r="31" spans="1:37">
      <c r="A31" s="30">
        <f t="shared" si="0"/>
        <v>45746</v>
      </c>
      <c r="B31" s="31">
        <v>45746</v>
      </c>
      <c r="C31" s="32" t="s">
        <v>161</v>
      </c>
      <c r="D31" s="33">
        <v>4.1666666666666664E-2</v>
      </c>
      <c r="E31" s="35">
        <f t="shared" si="5"/>
        <v>6.25E-2</v>
      </c>
      <c r="F31" s="34">
        <v>30</v>
      </c>
      <c r="G31" s="33">
        <v>0.16666666666666666</v>
      </c>
      <c r="H31" s="36">
        <f t="shared" si="6"/>
        <v>150</v>
      </c>
      <c r="I31" s="37">
        <f t="shared" si="7"/>
        <v>9.7916666666666666E-2</v>
      </c>
      <c r="J31" s="4">
        <v>7</v>
      </c>
      <c r="K31" s="7"/>
      <c r="L31" s="39">
        <v>4.7222222222222221E-2</v>
      </c>
      <c r="M31" s="39" t="s">
        <v>180</v>
      </c>
      <c r="N31" s="33">
        <v>9.3055555555555558E-2</v>
      </c>
      <c r="O31" s="109">
        <v>9.7916666666666666E-2</v>
      </c>
      <c r="P31" s="7"/>
      <c r="Q31" s="13">
        <f t="shared" si="18"/>
        <v>20</v>
      </c>
      <c r="R31" s="13">
        <f t="shared" si="8"/>
        <v>46.000000000000007</v>
      </c>
      <c r="S31" s="40">
        <f t="shared" si="19"/>
        <v>8.0000000000000018</v>
      </c>
      <c r="T31" s="4">
        <f t="shared" si="19"/>
        <v>-2.0000000000000027</v>
      </c>
      <c r="U31" s="4">
        <f t="shared" si="10"/>
        <v>-105.99999999999999</v>
      </c>
      <c r="V31" s="4">
        <f t="shared" si="11"/>
        <v>-104</v>
      </c>
      <c r="W31" s="4">
        <f t="shared" si="12"/>
        <v>-98.999999999999986</v>
      </c>
      <c r="X31" s="13">
        <f t="shared" si="13"/>
        <v>6.9999999999999947</v>
      </c>
      <c r="Y31" s="15">
        <f t="shared" si="14"/>
        <v>113.99999999999999</v>
      </c>
      <c r="AB31" s="18">
        <v>0</v>
      </c>
      <c r="AC31" s="19">
        <f t="shared" si="1"/>
        <v>30</v>
      </c>
      <c r="AD31" s="19">
        <f t="shared" si="2"/>
        <v>180</v>
      </c>
      <c r="AE31" s="110">
        <v>110</v>
      </c>
      <c r="AF31" s="20">
        <f t="shared" si="20"/>
        <v>8.0000000000000018</v>
      </c>
      <c r="AG31" s="19">
        <f t="shared" si="20"/>
        <v>27.999999999999996</v>
      </c>
      <c r="AH31" s="19">
        <f t="shared" si="4"/>
        <v>74</v>
      </c>
      <c r="AI31" s="19">
        <f t="shared" si="15"/>
        <v>87</v>
      </c>
      <c r="AJ31" s="19">
        <f t="shared" si="16"/>
        <v>81</v>
      </c>
      <c r="AK31" s="19">
        <f t="shared" si="17"/>
        <v>264</v>
      </c>
    </row>
    <row r="32" spans="1:37">
      <c r="A32" s="30"/>
      <c r="B32" s="31"/>
      <c r="C32" s="32"/>
      <c r="D32" s="33"/>
      <c r="E32" s="35"/>
      <c r="F32" s="34"/>
      <c r="G32" s="33"/>
      <c r="H32" s="36"/>
      <c r="I32" s="37"/>
      <c r="J32" s="4"/>
      <c r="K32" s="7"/>
      <c r="L32" s="39"/>
      <c r="M32" s="39"/>
      <c r="N32" s="33"/>
      <c r="O32" s="109"/>
      <c r="P32" s="7"/>
      <c r="Q32" s="13"/>
      <c r="R32" s="13"/>
      <c r="S32" s="40"/>
      <c r="T32" s="4"/>
      <c r="U32" s="4"/>
      <c r="V32" s="4"/>
      <c r="W32" s="4"/>
      <c r="X32" s="13"/>
      <c r="Y32" s="15"/>
      <c r="AB32" s="18">
        <v>0</v>
      </c>
      <c r="AC32" s="19">
        <f t="shared" si="1"/>
        <v>0</v>
      </c>
      <c r="AD32" s="19">
        <f t="shared" si="2"/>
        <v>0</v>
      </c>
      <c r="AE32" s="110">
        <v>110</v>
      </c>
      <c r="AF32" s="20">
        <f t="shared" si="20"/>
        <v>0</v>
      </c>
      <c r="AG32" s="19">
        <f t="shared" si="20"/>
        <v>0</v>
      </c>
      <c r="AH32" s="19">
        <f t="shared" si="4"/>
        <v>0</v>
      </c>
      <c r="AI32" s="19">
        <f t="shared" si="15"/>
        <v>50</v>
      </c>
      <c r="AJ32" s="19">
        <f t="shared" si="16"/>
        <v>0</v>
      </c>
      <c r="AK32" s="19">
        <f t="shared" si="17"/>
        <v>150</v>
      </c>
    </row>
    <row r="33" spans="1:37">
      <c r="A33" s="84"/>
      <c r="C33" s="85"/>
      <c r="D33" s="2"/>
      <c r="E33" s="112"/>
      <c r="F33" s="113"/>
      <c r="G33" s="2"/>
      <c r="J33" s="14"/>
      <c r="L33" s="112"/>
      <c r="M33" s="114"/>
      <c r="N33" s="115"/>
      <c r="O33" s="115"/>
      <c r="Q33" s="116"/>
      <c r="R33" s="116"/>
      <c r="T33" s="14"/>
      <c r="U33" s="14"/>
      <c r="V33" s="14"/>
      <c r="W33" s="14"/>
      <c r="X33" s="116"/>
      <c r="Y33" s="116"/>
      <c r="AB33" s="117"/>
      <c r="AC33" s="118"/>
      <c r="AD33" s="118"/>
      <c r="AE33" s="118"/>
      <c r="AF33" s="41"/>
      <c r="AG33" s="118"/>
      <c r="AH33" s="118"/>
      <c r="AI33" s="118"/>
      <c r="AJ33" s="118"/>
      <c r="AK33" s="118"/>
    </row>
    <row r="34" spans="1:37">
      <c r="L34" s="5">
        <f>AVERAGE(L2:L32)</f>
        <v>3.8865740740740735E-2</v>
      </c>
      <c r="M34" s="5">
        <f>AVERAGE(M2:M32)</f>
        <v>9.2361111111111116E-2</v>
      </c>
      <c r="N34" s="5">
        <f t="shared" ref="N34:O34" si="21">AVERAGE(N2:N32)</f>
        <v>9.7314814814814854E-2</v>
      </c>
      <c r="O34" s="5">
        <f t="shared" si="21"/>
        <v>0.1020601851851852</v>
      </c>
      <c r="Q34" s="97">
        <f>AVERAGE(Q2:Q32)</f>
        <v>41.233333333333341</v>
      </c>
      <c r="R34" s="97">
        <f t="shared" ref="R34:Y34" si="22">AVERAGE(R2:R32)</f>
        <v>41.933333333333373</v>
      </c>
      <c r="S34" s="97">
        <f t="shared" si="22"/>
        <v>-4.0333333333333377</v>
      </c>
      <c r="T34" s="97">
        <f t="shared" si="22"/>
        <v>8.1999999999999993</v>
      </c>
      <c r="U34" s="97">
        <f t="shared" si="22"/>
        <v>-99.866666666666617</v>
      </c>
      <c r="V34" s="97">
        <f t="shared" si="22"/>
        <v>-107.49999999999997</v>
      </c>
      <c r="W34" s="97">
        <f t="shared" si="22"/>
        <v>-93.033333333333331</v>
      </c>
      <c r="X34" s="97">
        <f t="shared" si="22"/>
        <v>6.8333333333332948</v>
      </c>
      <c r="Y34" s="97">
        <f t="shared" si="22"/>
        <v>95.833333333333286</v>
      </c>
      <c r="AB34" s="151" t="s">
        <v>30</v>
      </c>
      <c r="AC34" s="151"/>
      <c r="AD34" s="151"/>
      <c r="AE34" s="151"/>
      <c r="AF34" s="151"/>
      <c r="AG34" s="151"/>
      <c r="AH34" s="151"/>
      <c r="AI34" s="151"/>
      <c r="AJ34" s="151"/>
      <c r="AK34" s="151"/>
    </row>
    <row r="37" spans="1:37">
      <c r="D37" s="2"/>
    </row>
    <row r="38" spans="1:37">
      <c r="D38" s="2"/>
    </row>
    <row r="39" spans="1:37">
      <c r="D39" s="2"/>
    </row>
    <row r="40" spans="1:37">
      <c r="D40" s="2"/>
    </row>
    <row r="41" spans="1:37">
      <c r="D41" s="2"/>
    </row>
    <row r="42" spans="1:37">
      <c r="D42" s="2"/>
    </row>
    <row r="43" spans="1:37">
      <c r="D43" s="2"/>
    </row>
    <row r="44" spans="1:37">
      <c r="D44" s="2"/>
    </row>
    <row r="45" spans="1:37">
      <c r="D45" s="2"/>
    </row>
    <row r="46" spans="1:37">
      <c r="D46" s="2"/>
    </row>
    <row r="47" spans="1:37">
      <c r="D47" s="2"/>
    </row>
    <row r="48" spans="1:37">
      <c r="D48" s="2"/>
    </row>
    <row r="49" spans="4:4">
      <c r="D49" s="2"/>
    </row>
  </sheetData>
  <autoFilter ref="B1:U1" xr:uid="{00000000-0001-0000-0000-000000000000}"/>
  <mergeCells count="1">
    <mergeCell ref="AB34:AK34"/>
  </mergeCells>
  <conditionalFormatting sqref="Q2:Q33">
    <cfRule type="cellIs" dxfId="26" priority="5" operator="greaterThan">
      <formula>$F$2</formula>
    </cfRule>
    <cfRule type="cellIs" dxfId="25" priority="6" operator="lessThanOrEqual">
      <formula>$F$2</formula>
    </cfRule>
  </conditionalFormatting>
  <conditionalFormatting sqref="R2:R33">
    <cfRule type="cellIs" dxfId="24" priority="3" operator="greaterThan">
      <formula>$H$2</formula>
    </cfRule>
    <cfRule type="cellIs" dxfId="23" priority="4" operator="lessThanOrEqual">
      <formula>$H$2</formula>
    </cfRule>
  </conditionalFormatting>
  <conditionalFormatting sqref="X2:X33">
    <cfRule type="cellIs" dxfId="22" priority="1" operator="greaterThanOrEqual">
      <formula>31</formula>
    </cfRule>
  </conditionalFormatting>
  <conditionalFormatting sqref="Y2:Y33">
    <cfRule type="cellIs" dxfId="21" priority="2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2EB1-6085-4249-881F-F41076DF4FDF}">
  <dimension ref="A1:AV47"/>
  <sheetViews>
    <sheetView showGridLines="0" topLeftCell="A14" workbookViewId="0">
      <pane xSplit="1" topLeftCell="Q1" activePane="topRight" state="frozen"/>
      <selection pane="topRigh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38" max="38" width="11.81640625" customWidth="1"/>
  </cols>
  <sheetData>
    <row r="1" spans="1:48" ht="72.75" customHeight="1">
      <c r="A1" s="3" t="s">
        <v>181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23</v>
      </c>
      <c r="AK1" s="43" t="s">
        <v>2</v>
      </c>
      <c r="AL1" s="43" t="s">
        <v>38</v>
      </c>
      <c r="AM1" s="43" t="s">
        <v>39</v>
      </c>
      <c r="AN1" s="43" t="s">
        <v>24</v>
      </c>
      <c r="AO1" s="43" t="s">
        <v>25</v>
      </c>
      <c r="AP1" s="43" t="s">
        <v>26</v>
      </c>
      <c r="AQ1" s="17" t="s">
        <v>27</v>
      </c>
      <c r="AR1" s="17" t="s">
        <v>29</v>
      </c>
      <c r="AS1" s="21" t="s">
        <v>33</v>
      </c>
      <c r="AT1" s="85" t="s">
        <v>34</v>
      </c>
      <c r="AU1" s="44" t="s">
        <v>182</v>
      </c>
      <c r="AV1" s="44" t="s">
        <v>183</v>
      </c>
    </row>
    <row r="2" spans="1:48" ht="15.5">
      <c r="A2" s="30">
        <f t="shared" ref="A2:A31" si="0">B2</f>
        <v>45809</v>
      </c>
      <c r="B2" s="31">
        <v>45809</v>
      </c>
      <c r="C2" s="32" t="s">
        <v>184</v>
      </c>
      <c r="D2" s="33">
        <v>2.0833333333333332E-2</v>
      </c>
      <c r="E2" s="35">
        <v>4.1666666666666664E-2</v>
      </c>
      <c r="F2" s="34">
        <v>30</v>
      </c>
      <c r="G2" s="33">
        <v>0.16666666666666666</v>
      </c>
      <c r="H2" s="36">
        <v>179.99999999999997</v>
      </c>
      <c r="I2" s="37">
        <f>(N2+(TIME(0,J2,0)))</f>
        <v>0.16111111111111112</v>
      </c>
      <c r="J2" s="4">
        <v>6</v>
      </c>
      <c r="K2" s="7"/>
      <c r="L2" s="119">
        <v>5.486111111111111E-2</v>
      </c>
      <c r="M2" s="119">
        <v>7.2222222222222215E-2</v>
      </c>
      <c r="N2" s="120">
        <v>0.15694444444444444</v>
      </c>
      <c r="O2" s="120">
        <v>0.15972222222222221</v>
      </c>
      <c r="P2" s="121">
        <v>1.0090699999999999</v>
      </c>
      <c r="Q2" t="s">
        <v>44</v>
      </c>
      <c r="R2" t="s">
        <v>45</v>
      </c>
      <c r="S2" t="s">
        <v>45</v>
      </c>
      <c r="T2" t="s">
        <v>45</v>
      </c>
      <c r="U2" s="7"/>
      <c r="V2" s="13">
        <f>((M2-L2)*1440)</f>
        <v>24.999999999999993</v>
      </c>
      <c r="W2" s="13">
        <f>((N2-M2)*1440)</f>
        <v>122</v>
      </c>
      <c r="X2" s="4">
        <f>((L2-D2)*1440)</f>
        <v>49.000000000000007</v>
      </c>
      <c r="Y2" s="4">
        <f>((M2-E2)*1440)</f>
        <v>43.999999999999993</v>
      </c>
      <c r="Z2" s="4">
        <f t="shared" ref="Z2:Z31" si="1">((N2-G2)*1440)</f>
        <v>-13.999999999999989</v>
      </c>
      <c r="AA2" s="4">
        <f t="shared" ref="AA2:AA31" si="2">W2-(H2-X2)</f>
        <v>-8.9999999999999716</v>
      </c>
      <c r="AB2" s="4">
        <f t="shared" ref="AB2:AB31" si="3">((O2-G2)*1440)</f>
        <v>-10.000000000000004</v>
      </c>
      <c r="AC2" s="13">
        <f t="shared" ref="AC2:AC31" si="4">ROUND((O2-N2)*1440,0)</f>
        <v>4</v>
      </c>
      <c r="AD2" s="15">
        <f t="shared" ref="AD2:AD31" si="5">(Z2*-1)+X2</f>
        <v>63</v>
      </c>
      <c r="AG2" s="18">
        <v>0</v>
      </c>
      <c r="AH2" s="19">
        <f t="shared" ref="AH2:AH31" si="6">AG2+F2</f>
        <v>30</v>
      </c>
      <c r="AI2" s="19">
        <v>180</v>
      </c>
      <c r="AJ2" s="19">
        <v>210</v>
      </c>
      <c r="AK2" s="20">
        <f t="shared" ref="AK2:AK31" si="7">AG2+X2-10</f>
        <v>39.000000000000007</v>
      </c>
      <c r="AL2" s="19">
        <f>AK2</f>
        <v>39.000000000000007</v>
      </c>
      <c r="AM2" s="19">
        <f>AN2</f>
        <v>74</v>
      </c>
      <c r="AN2" s="19">
        <f t="shared" ref="AN2:AN31" si="8">AH2+Y2</f>
        <v>74</v>
      </c>
      <c r="AO2" s="19">
        <f t="shared" ref="AO2:AO31" si="9">AN2+W2</f>
        <v>196</v>
      </c>
      <c r="AP2" s="19">
        <f>(AO2/2)+100</f>
        <v>198</v>
      </c>
      <c r="AQ2" s="19">
        <f t="shared" ref="AQ2:AQ31" si="10">AO2+AC2</f>
        <v>200</v>
      </c>
      <c r="AR2" s="19">
        <f t="shared" ref="AR2:AR31" si="11">AD2+180</f>
        <v>243</v>
      </c>
      <c r="AS2" s="47">
        <f t="shared" ref="AS2:AS31" si="12">(P2*50)-160</f>
        <v>-109.54650000000001</v>
      </c>
      <c r="AU2">
        <f t="shared" ref="AU2:AU31" si="13">IF(Q2="No",-210,-50)</f>
        <v>-50</v>
      </c>
    </row>
    <row r="3" spans="1:48" ht="15.5">
      <c r="A3" s="30">
        <f t="shared" si="0"/>
        <v>45779</v>
      </c>
      <c r="B3" s="122">
        <v>45779</v>
      </c>
      <c r="C3" s="123" t="s">
        <v>184</v>
      </c>
      <c r="D3" s="124">
        <v>2.0833333333333332E-2</v>
      </c>
      <c r="E3" s="35">
        <v>4.1666666666666664E-2</v>
      </c>
      <c r="F3" s="125">
        <v>30</v>
      </c>
      <c r="G3" s="124">
        <v>0.16666666666666666</v>
      </c>
      <c r="H3" s="36">
        <v>179.99999999999997</v>
      </c>
      <c r="I3" s="37">
        <f t="shared" ref="I3:I31" si="14">(N3+(TIME(0,J3,0)))</f>
        <v>0.12986111111111112</v>
      </c>
      <c r="J3" s="126">
        <v>6</v>
      </c>
      <c r="K3" s="7"/>
      <c r="L3" s="119">
        <v>5.9722222222222225E-2</v>
      </c>
      <c r="M3" s="119">
        <v>6.7361111111111108E-2</v>
      </c>
      <c r="N3" s="120">
        <v>0.12569444444444444</v>
      </c>
      <c r="O3" s="120">
        <v>0.12847222222222221</v>
      </c>
      <c r="P3" s="121">
        <v>0.93727000000000005</v>
      </c>
      <c r="Q3" t="s">
        <v>45</v>
      </c>
      <c r="R3" t="s">
        <v>45</v>
      </c>
      <c r="S3" t="s">
        <v>45</v>
      </c>
      <c r="T3" t="s">
        <v>45</v>
      </c>
      <c r="U3" s="7"/>
      <c r="V3" s="127">
        <f t="shared" ref="V3:W31" si="15">((M3-L3)*1440)</f>
        <v>10.999999999999991</v>
      </c>
      <c r="W3" s="127">
        <f t="shared" si="15"/>
        <v>84</v>
      </c>
      <c r="X3" s="128">
        <f t="shared" ref="X3:Y31" si="16">((L3-D3)*1440)</f>
        <v>56</v>
      </c>
      <c r="Y3" s="36">
        <f t="shared" si="16"/>
        <v>37</v>
      </c>
      <c r="Z3" s="36">
        <f t="shared" si="1"/>
        <v>-58.999999999999993</v>
      </c>
      <c r="AA3" s="36">
        <f t="shared" si="2"/>
        <v>-39.999999999999972</v>
      </c>
      <c r="AB3" s="36">
        <f t="shared" si="3"/>
        <v>-55.000000000000007</v>
      </c>
      <c r="AC3" s="127">
        <f t="shared" si="4"/>
        <v>4</v>
      </c>
      <c r="AD3" s="116">
        <f t="shared" si="5"/>
        <v>115</v>
      </c>
      <c r="AG3" s="18">
        <v>0</v>
      </c>
      <c r="AH3" s="19">
        <f t="shared" si="6"/>
        <v>30</v>
      </c>
      <c r="AI3" s="19">
        <v>180</v>
      </c>
      <c r="AJ3" s="19">
        <v>210</v>
      </c>
      <c r="AK3" s="20">
        <f t="shared" si="7"/>
        <v>46</v>
      </c>
      <c r="AL3" s="19">
        <f>AK3</f>
        <v>46</v>
      </c>
      <c r="AM3" s="19">
        <f>AN3</f>
        <v>67</v>
      </c>
      <c r="AN3" s="19">
        <f t="shared" si="8"/>
        <v>67</v>
      </c>
      <c r="AO3" s="19">
        <f t="shared" si="9"/>
        <v>151</v>
      </c>
      <c r="AP3" s="19">
        <f>(AO3/2)+100</f>
        <v>175.5</v>
      </c>
      <c r="AQ3" s="19">
        <f t="shared" si="10"/>
        <v>155</v>
      </c>
      <c r="AR3" s="19">
        <f t="shared" si="11"/>
        <v>295</v>
      </c>
      <c r="AS3" s="47">
        <f t="shared" si="12"/>
        <v>-113.1365</v>
      </c>
      <c r="AU3">
        <f t="shared" si="13"/>
        <v>-210</v>
      </c>
    </row>
    <row r="4" spans="1:48" ht="15.5">
      <c r="A4" s="30">
        <f t="shared" si="0"/>
        <v>45780</v>
      </c>
      <c r="B4" s="31">
        <v>45780</v>
      </c>
      <c r="C4" s="32" t="s">
        <v>184</v>
      </c>
      <c r="D4" s="33">
        <v>2.0833333333333332E-2</v>
      </c>
      <c r="E4" s="35">
        <v>4.1666666666666664E-2</v>
      </c>
      <c r="F4" s="34">
        <v>30</v>
      </c>
      <c r="G4" s="33">
        <v>0.16666666666666666</v>
      </c>
      <c r="H4" s="36">
        <v>179.99999999999997</v>
      </c>
      <c r="I4" s="37">
        <f t="shared" si="14"/>
        <v>0.11805555555555555</v>
      </c>
      <c r="J4" s="4">
        <v>6</v>
      </c>
      <c r="K4" s="7"/>
      <c r="L4" s="119">
        <v>4.0972222222222222E-2</v>
      </c>
      <c r="M4" s="119">
        <v>4.791666666666667E-2</v>
      </c>
      <c r="N4" s="120">
        <v>0.11388888888888889</v>
      </c>
      <c r="O4" s="120">
        <v>0.11666666666666667</v>
      </c>
      <c r="P4" s="121">
        <v>0.94069999999999998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15"/>
        <v>10.000000000000004</v>
      </c>
      <c r="W4" s="13">
        <f t="shared" si="15"/>
        <v>94.999999999999986</v>
      </c>
      <c r="X4" s="40">
        <f t="shared" si="16"/>
        <v>29.000000000000004</v>
      </c>
      <c r="Y4" s="4">
        <f t="shared" si="16"/>
        <v>9.0000000000000071</v>
      </c>
      <c r="Z4" s="4">
        <f t="shared" si="1"/>
        <v>-75.999999999999986</v>
      </c>
      <c r="AA4" s="4">
        <f t="shared" si="2"/>
        <v>-55.999999999999986</v>
      </c>
      <c r="AB4" s="4">
        <f t="shared" si="3"/>
        <v>-71.999999999999986</v>
      </c>
      <c r="AC4" s="13">
        <f t="shared" si="4"/>
        <v>4</v>
      </c>
      <c r="AD4" s="15">
        <f t="shared" si="5"/>
        <v>104.99999999999999</v>
      </c>
      <c r="AG4" s="18">
        <v>0</v>
      </c>
      <c r="AH4" s="19">
        <f t="shared" si="6"/>
        <v>30</v>
      </c>
      <c r="AI4" s="19">
        <v>180</v>
      </c>
      <c r="AJ4" s="19">
        <v>210</v>
      </c>
      <c r="AK4" s="20">
        <f t="shared" si="7"/>
        <v>19.000000000000004</v>
      </c>
      <c r="AL4" s="19">
        <f t="shared" ref="AL4:AL20" si="17">AK4</f>
        <v>19.000000000000004</v>
      </c>
      <c r="AM4" s="19">
        <f t="shared" ref="AM4:AM31" si="18">AN4</f>
        <v>39.000000000000007</v>
      </c>
      <c r="AN4" s="19">
        <f t="shared" si="8"/>
        <v>39.000000000000007</v>
      </c>
      <c r="AO4" s="19">
        <f t="shared" si="9"/>
        <v>134</v>
      </c>
      <c r="AP4" s="19">
        <f t="shared" ref="AP4:AP31" si="19">(AO4/2)+100</f>
        <v>167</v>
      </c>
      <c r="AQ4" s="19">
        <f t="shared" si="10"/>
        <v>138</v>
      </c>
      <c r="AR4" s="19">
        <f t="shared" si="11"/>
        <v>285</v>
      </c>
      <c r="AS4" s="47">
        <f t="shared" si="12"/>
        <v>-112.965</v>
      </c>
      <c r="AU4">
        <f t="shared" si="13"/>
        <v>-210</v>
      </c>
      <c r="AV4">
        <f t="shared" ref="AV4:AV29" si="20">IF(T4="Yes",-180,-125)</f>
        <v>-125</v>
      </c>
    </row>
    <row r="5" spans="1:48" ht="15.5">
      <c r="A5" s="30">
        <f t="shared" si="0"/>
        <v>45781</v>
      </c>
      <c r="B5" s="31">
        <v>45781</v>
      </c>
      <c r="C5" s="32" t="s">
        <v>184</v>
      </c>
      <c r="D5" s="33">
        <v>2.0833333333333332E-2</v>
      </c>
      <c r="E5" s="35">
        <v>4.1666666666666664E-2</v>
      </c>
      <c r="F5" s="34">
        <v>30</v>
      </c>
      <c r="G5" s="33">
        <v>0.16666666666666666</v>
      </c>
      <c r="H5" s="36">
        <v>179.99999999999997</v>
      </c>
      <c r="I5" s="37">
        <f t="shared" si="14"/>
        <v>0.125</v>
      </c>
      <c r="J5" s="4">
        <v>6</v>
      </c>
      <c r="K5" s="7"/>
      <c r="L5" s="119">
        <v>4.3749999999999997E-2</v>
      </c>
      <c r="M5" s="119">
        <v>5.2777777777777778E-2</v>
      </c>
      <c r="N5" s="120">
        <v>0.12083333333333333</v>
      </c>
      <c r="O5" s="120">
        <v>0.12361111111111112</v>
      </c>
      <c r="P5" s="121">
        <v>0.94621999999999995</v>
      </c>
      <c r="Q5" t="s">
        <v>44</v>
      </c>
      <c r="R5" t="s">
        <v>45</v>
      </c>
      <c r="S5" t="s">
        <v>45</v>
      </c>
      <c r="T5" t="s">
        <v>45</v>
      </c>
      <c r="U5" s="7"/>
      <c r="V5" s="13">
        <f t="shared" si="15"/>
        <v>13.000000000000004</v>
      </c>
      <c r="W5" s="13">
        <f t="shared" si="15"/>
        <v>98.000000000000014</v>
      </c>
      <c r="X5" s="40">
        <f t="shared" si="16"/>
        <v>33</v>
      </c>
      <c r="Y5" s="4">
        <f t="shared" si="16"/>
        <v>16.000000000000004</v>
      </c>
      <c r="Z5" s="4">
        <f t="shared" si="1"/>
        <v>-65.999999999999986</v>
      </c>
      <c r="AA5" s="4">
        <f t="shared" si="2"/>
        <v>-48.999999999999957</v>
      </c>
      <c r="AB5" s="4">
        <f t="shared" si="3"/>
        <v>-61.999999999999979</v>
      </c>
      <c r="AC5" s="13">
        <f t="shared" si="4"/>
        <v>4</v>
      </c>
      <c r="AD5" s="15">
        <f t="shared" si="5"/>
        <v>98.999999999999986</v>
      </c>
      <c r="AG5" s="18">
        <v>0</v>
      </c>
      <c r="AH5" s="19">
        <f t="shared" si="6"/>
        <v>30</v>
      </c>
      <c r="AI5" s="19">
        <v>180</v>
      </c>
      <c r="AJ5" s="19">
        <v>210</v>
      </c>
      <c r="AK5" s="20">
        <f t="shared" si="7"/>
        <v>23</v>
      </c>
      <c r="AL5" s="19">
        <f t="shared" si="17"/>
        <v>23</v>
      </c>
      <c r="AM5" s="19">
        <f t="shared" si="18"/>
        <v>46</v>
      </c>
      <c r="AN5" s="19">
        <f t="shared" si="8"/>
        <v>46</v>
      </c>
      <c r="AO5" s="19">
        <f t="shared" si="9"/>
        <v>144</v>
      </c>
      <c r="AP5" s="19">
        <f t="shared" si="19"/>
        <v>172</v>
      </c>
      <c r="AQ5" s="19">
        <f t="shared" si="10"/>
        <v>148</v>
      </c>
      <c r="AR5" s="19">
        <f t="shared" si="11"/>
        <v>279</v>
      </c>
      <c r="AS5" s="47">
        <f t="shared" si="12"/>
        <v>-112.68899999999999</v>
      </c>
      <c r="AU5">
        <f t="shared" si="13"/>
        <v>-50</v>
      </c>
    </row>
    <row r="6" spans="1:48" ht="15.5">
      <c r="A6" s="30">
        <f t="shared" si="0"/>
        <v>45782</v>
      </c>
      <c r="B6" s="31">
        <v>45782</v>
      </c>
      <c r="C6" s="32" t="s">
        <v>184</v>
      </c>
      <c r="D6" s="33">
        <v>2.0833333333333332E-2</v>
      </c>
      <c r="E6" s="35">
        <v>4.1666666666666664E-2</v>
      </c>
      <c r="F6" s="34">
        <v>30</v>
      </c>
      <c r="G6" s="33">
        <v>0.16666666666666666</v>
      </c>
      <c r="H6" s="36">
        <v>179.99999999999997</v>
      </c>
      <c r="I6" s="37">
        <f t="shared" si="14"/>
        <v>0.11527777777777777</v>
      </c>
      <c r="J6" s="4">
        <v>6</v>
      </c>
      <c r="K6" s="7"/>
      <c r="L6" s="119">
        <v>4.3055555555555555E-2</v>
      </c>
      <c r="M6" s="119">
        <v>5.0694444444444445E-2</v>
      </c>
      <c r="N6" s="120">
        <v>0.1111111111111111</v>
      </c>
      <c r="O6" s="120">
        <v>0.11388888888888889</v>
      </c>
      <c r="P6" s="121">
        <v>0.93974000000000002</v>
      </c>
      <c r="Q6" t="s">
        <v>45</v>
      </c>
      <c r="R6" t="s">
        <v>45</v>
      </c>
      <c r="S6" t="s">
        <v>45</v>
      </c>
      <c r="T6" t="s">
        <v>45</v>
      </c>
      <c r="U6" s="7"/>
      <c r="V6" s="13">
        <f t="shared" si="15"/>
        <v>11</v>
      </c>
      <c r="W6" s="13">
        <f t="shared" si="15"/>
        <v>86.999999999999986</v>
      </c>
      <c r="X6" s="40">
        <f t="shared" si="16"/>
        <v>32</v>
      </c>
      <c r="Y6" s="4">
        <f t="shared" si="16"/>
        <v>13.000000000000004</v>
      </c>
      <c r="Z6" s="4">
        <f t="shared" si="1"/>
        <v>-80</v>
      </c>
      <c r="AA6" s="4">
        <f t="shared" si="2"/>
        <v>-60.999999999999986</v>
      </c>
      <c r="AB6" s="4">
        <f t="shared" si="3"/>
        <v>-75.999999999999986</v>
      </c>
      <c r="AC6" s="13">
        <f t="shared" si="4"/>
        <v>4</v>
      </c>
      <c r="AD6" s="15">
        <f t="shared" si="5"/>
        <v>112</v>
      </c>
      <c r="AG6" s="18">
        <v>0</v>
      </c>
      <c r="AH6" s="19">
        <f t="shared" si="6"/>
        <v>30</v>
      </c>
      <c r="AI6" s="19">
        <v>180</v>
      </c>
      <c r="AJ6" s="19">
        <v>210</v>
      </c>
      <c r="AK6" s="20">
        <f t="shared" si="7"/>
        <v>22</v>
      </c>
      <c r="AL6" s="19">
        <f t="shared" si="17"/>
        <v>22</v>
      </c>
      <c r="AM6" s="19">
        <f t="shared" si="18"/>
        <v>43</v>
      </c>
      <c r="AN6" s="19">
        <f t="shared" si="8"/>
        <v>43</v>
      </c>
      <c r="AO6" s="19">
        <f t="shared" si="9"/>
        <v>130</v>
      </c>
      <c r="AP6" s="19">
        <f t="shared" si="19"/>
        <v>165</v>
      </c>
      <c r="AQ6" s="19">
        <f t="shared" si="10"/>
        <v>134</v>
      </c>
      <c r="AR6" s="19">
        <f t="shared" si="11"/>
        <v>292</v>
      </c>
      <c r="AS6" s="47">
        <f t="shared" si="12"/>
        <v>-113.01300000000001</v>
      </c>
      <c r="AU6">
        <f t="shared" si="13"/>
        <v>-210</v>
      </c>
    </row>
    <row r="7" spans="1:48" ht="15.5">
      <c r="A7" s="30">
        <f t="shared" si="0"/>
        <v>45783</v>
      </c>
      <c r="B7" s="31">
        <v>45783</v>
      </c>
      <c r="C7" s="32" t="s">
        <v>184</v>
      </c>
      <c r="D7" s="33">
        <v>2.0833333333333332E-2</v>
      </c>
      <c r="E7" s="35">
        <v>4.1666666666666664E-2</v>
      </c>
      <c r="F7" s="34">
        <v>30</v>
      </c>
      <c r="G7" s="33">
        <v>0.16666666666666666</v>
      </c>
      <c r="H7" s="36">
        <v>179.99999999999997</v>
      </c>
      <c r="I7" s="37">
        <f t="shared" si="14"/>
        <v>0.125</v>
      </c>
      <c r="J7" s="4">
        <v>6</v>
      </c>
      <c r="K7" s="7"/>
      <c r="L7" s="119">
        <v>4.7222222222222221E-2</v>
      </c>
      <c r="M7" s="119">
        <v>6.0416666666666667E-2</v>
      </c>
      <c r="N7" s="120">
        <v>0.12083333333333333</v>
      </c>
      <c r="O7" s="120">
        <v>0.12361111111111112</v>
      </c>
      <c r="P7" s="121">
        <v>0.94650000000000001</v>
      </c>
      <c r="Q7" t="s">
        <v>45</v>
      </c>
      <c r="R7" t="s">
        <v>45</v>
      </c>
      <c r="S7" t="s">
        <v>45</v>
      </c>
      <c r="T7" t="s">
        <v>45</v>
      </c>
      <c r="U7" s="7"/>
      <c r="V7" s="13">
        <f t="shared" si="15"/>
        <v>19.000000000000004</v>
      </c>
      <c r="W7" s="13">
        <f t="shared" si="15"/>
        <v>87</v>
      </c>
      <c r="X7" s="40">
        <f t="shared" si="16"/>
        <v>38</v>
      </c>
      <c r="Y7" s="4">
        <f t="shared" si="16"/>
        <v>27.000000000000004</v>
      </c>
      <c r="Z7" s="4">
        <f t="shared" si="1"/>
        <v>-65.999999999999986</v>
      </c>
      <c r="AA7" s="4">
        <f t="shared" si="2"/>
        <v>-54.999999999999972</v>
      </c>
      <c r="AB7" s="4">
        <f t="shared" si="3"/>
        <v>-61.999999999999979</v>
      </c>
      <c r="AC7" s="13">
        <f t="shared" si="4"/>
        <v>4</v>
      </c>
      <c r="AD7" s="15">
        <f t="shared" si="5"/>
        <v>103.99999999999999</v>
      </c>
      <c r="AG7" s="18">
        <v>0</v>
      </c>
      <c r="AH7" s="19">
        <f t="shared" si="6"/>
        <v>30</v>
      </c>
      <c r="AI7" s="19">
        <v>180</v>
      </c>
      <c r="AJ7" s="19">
        <v>210</v>
      </c>
      <c r="AK7" s="20">
        <f t="shared" si="7"/>
        <v>28</v>
      </c>
      <c r="AL7" s="19">
        <f t="shared" si="17"/>
        <v>28</v>
      </c>
      <c r="AM7" s="19">
        <f t="shared" si="18"/>
        <v>57</v>
      </c>
      <c r="AN7" s="19">
        <f t="shared" si="8"/>
        <v>57</v>
      </c>
      <c r="AO7" s="19">
        <f t="shared" si="9"/>
        <v>144</v>
      </c>
      <c r="AP7" s="19">
        <f t="shared" si="19"/>
        <v>172</v>
      </c>
      <c r="AQ7" s="19">
        <f t="shared" si="10"/>
        <v>148</v>
      </c>
      <c r="AR7" s="19">
        <f t="shared" si="11"/>
        <v>284</v>
      </c>
      <c r="AS7" s="47">
        <f t="shared" si="12"/>
        <v>-112.675</v>
      </c>
      <c r="AU7">
        <f t="shared" si="13"/>
        <v>-210</v>
      </c>
    </row>
    <row r="8" spans="1:48" ht="15.5">
      <c r="A8" s="30">
        <f t="shared" si="0"/>
        <v>45784</v>
      </c>
      <c r="B8" s="31">
        <v>45784</v>
      </c>
      <c r="C8" s="32" t="s">
        <v>184</v>
      </c>
      <c r="D8" s="33">
        <v>2.0833333333333332E-2</v>
      </c>
      <c r="E8" s="35">
        <v>4.1666666666666664E-2</v>
      </c>
      <c r="F8" s="34">
        <v>30</v>
      </c>
      <c r="G8" s="33">
        <v>0.16666666666666666</v>
      </c>
      <c r="H8" s="36">
        <v>179.99999999999997</v>
      </c>
      <c r="I8" s="37">
        <f t="shared" si="14"/>
        <v>0.13958333333333334</v>
      </c>
      <c r="J8" s="4">
        <v>6</v>
      </c>
      <c r="K8" s="7"/>
      <c r="L8" s="119">
        <v>4.8611111111111112E-2</v>
      </c>
      <c r="M8" s="119">
        <v>5.486111111111111E-2</v>
      </c>
      <c r="N8" s="120">
        <v>0.13541666666666666</v>
      </c>
      <c r="O8" s="120">
        <v>0.13819444444444445</v>
      </c>
      <c r="P8" s="121">
        <v>0.98775999999999997</v>
      </c>
      <c r="Q8" t="s">
        <v>44</v>
      </c>
      <c r="R8" t="s">
        <v>45</v>
      </c>
      <c r="S8" t="s">
        <v>45</v>
      </c>
      <c r="T8" t="s">
        <v>45</v>
      </c>
      <c r="U8" s="7"/>
      <c r="V8" s="13">
        <f t="shared" si="15"/>
        <v>8.9999999999999982</v>
      </c>
      <c r="W8" s="13">
        <f t="shared" si="15"/>
        <v>115.99999999999999</v>
      </c>
      <c r="X8" s="40">
        <f t="shared" si="16"/>
        <v>40</v>
      </c>
      <c r="Y8" s="4">
        <f t="shared" si="16"/>
        <v>19.000000000000004</v>
      </c>
      <c r="Z8" s="4">
        <f t="shared" si="1"/>
        <v>-45</v>
      </c>
      <c r="AA8" s="4">
        <f t="shared" si="2"/>
        <v>-23.999999999999986</v>
      </c>
      <c r="AB8" s="4">
        <f t="shared" si="3"/>
        <v>-40.999999999999972</v>
      </c>
      <c r="AC8" s="13">
        <f t="shared" si="4"/>
        <v>4</v>
      </c>
      <c r="AD8" s="15">
        <f t="shared" si="5"/>
        <v>85</v>
      </c>
      <c r="AG8" s="18">
        <v>0</v>
      </c>
      <c r="AH8" s="19">
        <f t="shared" si="6"/>
        <v>30</v>
      </c>
      <c r="AI8" s="19">
        <v>180</v>
      </c>
      <c r="AJ8" s="19">
        <v>210</v>
      </c>
      <c r="AK8" s="20">
        <f t="shared" si="7"/>
        <v>30</v>
      </c>
      <c r="AL8" s="19">
        <f t="shared" si="17"/>
        <v>30</v>
      </c>
      <c r="AM8" s="19">
        <f t="shared" si="18"/>
        <v>49</v>
      </c>
      <c r="AN8" s="19">
        <f t="shared" si="8"/>
        <v>49</v>
      </c>
      <c r="AO8" s="19">
        <f t="shared" si="9"/>
        <v>165</v>
      </c>
      <c r="AP8" s="19">
        <f t="shared" si="19"/>
        <v>182.5</v>
      </c>
      <c r="AQ8" s="19">
        <f t="shared" si="10"/>
        <v>169</v>
      </c>
      <c r="AR8" s="19">
        <f t="shared" si="11"/>
        <v>265</v>
      </c>
      <c r="AS8" s="47">
        <f t="shared" si="12"/>
        <v>-110.61199999999999</v>
      </c>
      <c r="AU8">
        <f>IF(Q8="No",-210,-50)</f>
        <v>-50</v>
      </c>
      <c r="AV8">
        <f t="shared" si="20"/>
        <v>-125</v>
      </c>
    </row>
    <row r="9" spans="1:48" ht="15.5">
      <c r="A9" s="30">
        <f t="shared" si="0"/>
        <v>45785</v>
      </c>
      <c r="B9" s="31">
        <v>45785</v>
      </c>
      <c r="C9" s="32" t="s">
        <v>184</v>
      </c>
      <c r="D9" s="33">
        <v>2.0833333333333332E-2</v>
      </c>
      <c r="E9" s="35">
        <v>4.1666666666666664E-2</v>
      </c>
      <c r="F9" s="34">
        <v>30</v>
      </c>
      <c r="G9" s="33">
        <v>0.16666666666666666</v>
      </c>
      <c r="H9" s="36">
        <v>179.99999999999997</v>
      </c>
      <c r="I9" s="37">
        <f t="shared" si="14"/>
        <v>0.14166666666666669</v>
      </c>
      <c r="J9" s="4">
        <v>6</v>
      </c>
      <c r="K9" s="7"/>
      <c r="L9" s="119">
        <v>4.027777777777778E-2</v>
      </c>
      <c r="M9" s="119">
        <v>5.1388888888888887E-2</v>
      </c>
      <c r="N9" s="120">
        <v>0.13750000000000001</v>
      </c>
      <c r="O9" s="120">
        <v>0.14027777777777778</v>
      </c>
      <c r="P9" s="121">
        <v>1.0219199999999999</v>
      </c>
      <c r="Q9" t="s">
        <v>45</v>
      </c>
      <c r="R9" t="s">
        <v>45</v>
      </c>
      <c r="S9" t="s">
        <v>45</v>
      </c>
      <c r="T9" t="s">
        <v>45</v>
      </c>
      <c r="U9" s="7"/>
      <c r="V9" s="13">
        <f t="shared" si="15"/>
        <v>15.999999999999993</v>
      </c>
      <c r="W9" s="13">
        <f t="shared" si="15"/>
        <v>124.00000000000001</v>
      </c>
      <c r="X9" s="40">
        <f t="shared" si="16"/>
        <v>28.000000000000007</v>
      </c>
      <c r="Y9" s="4">
        <f t="shared" si="16"/>
        <v>14</v>
      </c>
      <c r="Z9" s="4">
        <f t="shared" si="1"/>
        <v>-41.999999999999972</v>
      </c>
      <c r="AA9" s="4">
        <f t="shared" si="2"/>
        <v>-27.999999999999957</v>
      </c>
      <c r="AB9" s="4">
        <f t="shared" si="3"/>
        <v>-37.999999999999986</v>
      </c>
      <c r="AC9" s="13">
        <f t="shared" si="4"/>
        <v>4</v>
      </c>
      <c r="AD9" s="15">
        <f t="shared" si="5"/>
        <v>69.999999999999972</v>
      </c>
      <c r="AG9" s="18">
        <v>0</v>
      </c>
      <c r="AH9" s="19">
        <f t="shared" si="6"/>
        <v>30</v>
      </c>
      <c r="AI9" s="19">
        <v>180</v>
      </c>
      <c r="AJ9" s="19">
        <v>210</v>
      </c>
      <c r="AK9" s="20">
        <f t="shared" si="7"/>
        <v>18.000000000000007</v>
      </c>
      <c r="AL9" s="19">
        <f t="shared" si="17"/>
        <v>18.000000000000007</v>
      </c>
      <c r="AM9" s="19">
        <f t="shared" si="18"/>
        <v>44</v>
      </c>
      <c r="AN9" s="19">
        <f t="shared" si="8"/>
        <v>44</v>
      </c>
      <c r="AO9" s="19">
        <f t="shared" si="9"/>
        <v>168</v>
      </c>
      <c r="AP9" s="19">
        <f t="shared" si="19"/>
        <v>184</v>
      </c>
      <c r="AQ9" s="19">
        <f t="shared" si="10"/>
        <v>172</v>
      </c>
      <c r="AR9" s="19">
        <f t="shared" si="11"/>
        <v>249.99999999999997</v>
      </c>
      <c r="AS9" s="47">
        <f t="shared" si="12"/>
        <v>-108.904</v>
      </c>
      <c r="AU9">
        <f t="shared" si="13"/>
        <v>-210</v>
      </c>
      <c r="AV9">
        <f t="shared" si="20"/>
        <v>-125</v>
      </c>
    </row>
    <row r="10" spans="1:48" ht="15.5">
      <c r="A10" s="30">
        <f t="shared" si="0"/>
        <v>45786</v>
      </c>
      <c r="B10" s="31">
        <v>45786</v>
      </c>
      <c r="C10" s="32" t="s">
        <v>184</v>
      </c>
      <c r="D10" s="33">
        <v>2.0833333333333332E-2</v>
      </c>
      <c r="E10" s="35">
        <v>4.1666666666666664E-2</v>
      </c>
      <c r="F10" s="34">
        <v>30</v>
      </c>
      <c r="G10" s="33">
        <v>0.16666666666666666</v>
      </c>
      <c r="H10" s="36">
        <v>179.99999999999997</v>
      </c>
      <c r="I10" s="37">
        <f t="shared" si="14"/>
        <v>0.13611111111111113</v>
      </c>
      <c r="J10" s="4">
        <v>6</v>
      </c>
      <c r="K10" s="7"/>
      <c r="L10" s="119">
        <v>5.9027777777777776E-2</v>
      </c>
      <c r="M10" s="119">
        <v>6.5972222222222224E-2</v>
      </c>
      <c r="N10" s="120">
        <v>0.13194444444444445</v>
      </c>
      <c r="O10" s="120">
        <v>0.13472222222222222</v>
      </c>
      <c r="P10" s="121">
        <v>0.94752999999999998</v>
      </c>
      <c r="Q10" t="s">
        <v>44</v>
      </c>
      <c r="R10" t="s">
        <v>45</v>
      </c>
      <c r="S10" t="s">
        <v>45</v>
      </c>
      <c r="T10" t="s">
        <v>45</v>
      </c>
      <c r="U10" s="7"/>
      <c r="V10" s="13">
        <f t="shared" si="15"/>
        <v>10.000000000000004</v>
      </c>
      <c r="W10" s="13">
        <f t="shared" si="15"/>
        <v>95</v>
      </c>
      <c r="X10" s="40">
        <f t="shared" si="16"/>
        <v>55.000000000000007</v>
      </c>
      <c r="Y10" s="4">
        <f t="shared" si="16"/>
        <v>35.000000000000007</v>
      </c>
      <c r="Z10" s="4">
        <f t="shared" si="1"/>
        <v>-49.999999999999986</v>
      </c>
      <c r="AA10" s="4">
        <f t="shared" si="2"/>
        <v>-29.999999999999972</v>
      </c>
      <c r="AB10" s="4">
        <f t="shared" si="3"/>
        <v>-46</v>
      </c>
      <c r="AC10" s="13">
        <f t="shared" si="4"/>
        <v>4</v>
      </c>
      <c r="AD10" s="15">
        <f t="shared" si="5"/>
        <v>105</v>
      </c>
      <c r="AG10" s="18">
        <v>0</v>
      </c>
      <c r="AH10" s="19">
        <v>30</v>
      </c>
      <c r="AI10" s="19">
        <v>180</v>
      </c>
      <c r="AJ10" s="19">
        <v>210</v>
      </c>
      <c r="AK10" s="20">
        <f t="shared" si="7"/>
        <v>45.000000000000007</v>
      </c>
      <c r="AL10" s="19">
        <f t="shared" si="17"/>
        <v>45.000000000000007</v>
      </c>
      <c r="AM10" s="19">
        <f t="shared" si="18"/>
        <v>65</v>
      </c>
      <c r="AN10" s="19">
        <f t="shared" si="8"/>
        <v>65</v>
      </c>
      <c r="AO10" s="19">
        <f t="shared" si="9"/>
        <v>160</v>
      </c>
      <c r="AP10" s="19">
        <f t="shared" si="19"/>
        <v>180</v>
      </c>
      <c r="AQ10" s="19">
        <f t="shared" si="10"/>
        <v>164</v>
      </c>
      <c r="AR10" s="19">
        <f t="shared" si="11"/>
        <v>285</v>
      </c>
      <c r="AS10" s="47">
        <f t="shared" si="12"/>
        <v>-112.62350000000001</v>
      </c>
      <c r="AU10">
        <f t="shared" si="13"/>
        <v>-50</v>
      </c>
    </row>
    <row r="11" spans="1:48" ht="15.5">
      <c r="A11" s="30">
        <f t="shared" si="0"/>
        <v>45787</v>
      </c>
      <c r="B11" s="31">
        <v>45787</v>
      </c>
      <c r="C11" s="32" t="s">
        <v>184</v>
      </c>
      <c r="D11" s="33">
        <v>2.0833333333333332E-2</v>
      </c>
      <c r="E11" s="35">
        <v>4.1666666666666664E-2</v>
      </c>
      <c r="F11" s="34">
        <v>30</v>
      </c>
      <c r="G11" s="33">
        <v>0.16666666666666666</v>
      </c>
      <c r="H11" s="36">
        <v>179.99999999999997</v>
      </c>
      <c r="I11" s="37">
        <f t="shared" si="14"/>
        <v>0.11666666666666667</v>
      </c>
      <c r="J11" s="4">
        <v>6</v>
      </c>
      <c r="K11" s="7"/>
      <c r="L11" s="119">
        <v>2.7777777777777776E-2</v>
      </c>
      <c r="M11" s="119">
        <v>4.1666666666666664E-2</v>
      </c>
      <c r="N11" s="120">
        <v>0.1125</v>
      </c>
      <c r="O11" s="120">
        <v>0.11458333333333333</v>
      </c>
      <c r="P11" s="121">
        <v>0.95021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5"/>
        <v>20</v>
      </c>
      <c r="W11" s="13">
        <f t="shared" si="15"/>
        <v>102</v>
      </c>
      <c r="X11" s="40">
        <f t="shared" si="16"/>
        <v>10</v>
      </c>
      <c r="Y11" s="4">
        <f t="shared" si="16"/>
        <v>0</v>
      </c>
      <c r="Z11" s="4">
        <f t="shared" si="1"/>
        <v>-77.999999999999986</v>
      </c>
      <c r="AA11" s="4">
        <f t="shared" si="2"/>
        <v>-67.999999999999972</v>
      </c>
      <c r="AB11" s="4">
        <f t="shared" si="3"/>
        <v>-75</v>
      </c>
      <c r="AC11" s="13">
        <f t="shared" si="4"/>
        <v>3</v>
      </c>
      <c r="AD11" s="15">
        <f t="shared" si="5"/>
        <v>87.999999999999986</v>
      </c>
      <c r="AG11" s="18">
        <v>0</v>
      </c>
      <c r="AH11" s="19">
        <f t="shared" si="6"/>
        <v>30</v>
      </c>
      <c r="AI11" s="19">
        <v>180</v>
      </c>
      <c r="AJ11" s="19">
        <v>210</v>
      </c>
      <c r="AK11" s="20">
        <f t="shared" si="7"/>
        <v>0</v>
      </c>
      <c r="AL11" s="19">
        <f t="shared" si="17"/>
        <v>0</v>
      </c>
      <c r="AM11" s="19">
        <f t="shared" si="18"/>
        <v>30</v>
      </c>
      <c r="AN11" s="19">
        <f t="shared" si="8"/>
        <v>30</v>
      </c>
      <c r="AO11" s="19">
        <f t="shared" si="9"/>
        <v>132</v>
      </c>
      <c r="AP11" s="19">
        <f t="shared" si="19"/>
        <v>166</v>
      </c>
      <c r="AQ11" s="19">
        <f t="shared" si="10"/>
        <v>135</v>
      </c>
      <c r="AR11" s="19">
        <f t="shared" si="11"/>
        <v>268</v>
      </c>
      <c r="AS11" s="47">
        <f t="shared" si="12"/>
        <v>-112.48949999999999</v>
      </c>
      <c r="AU11">
        <f t="shared" si="13"/>
        <v>-210</v>
      </c>
      <c r="AV11">
        <f t="shared" si="20"/>
        <v>-125</v>
      </c>
    </row>
    <row r="12" spans="1:48" ht="15.5">
      <c r="A12" s="30">
        <f t="shared" si="0"/>
        <v>45788</v>
      </c>
      <c r="B12" s="31">
        <v>45788</v>
      </c>
      <c r="C12" s="32" t="s">
        <v>184</v>
      </c>
      <c r="D12" s="33">
        <v>2.0833333333333332E-2</v>
      </c>
      <c r="E12" s="35">
        <v>4.1666666666666664E-2</v>
      </c>
      <c r="F12" s="34">
        <v>30</v>
      </c>
      <c r="G12" s="33">
        <v>0.16666666666666666</v>
      </c>
      <c r="H12" s="36">
        <v>179.99999999999997</v>
      </c>
      <c r="I12" s="37">
        <f t="shared" si="14"/>
        <v>0.12638888888888888</v>
      </c>
      <c r="J12" s="4">
        <v>6</v>
      </c>
      <c r="K12" s="7"/>
      <c r="L12" s="119">
        <v>4.2361111111111113E-2</v>
      </c>
      <c r="M12" s="119">
        <v>4.9305555555555554E-2</v>
      </c>
      <c r="N12" s="120">
        <v>0.12222222222222222</v>
      </c>
      <c r="O12" s="120">
        <v>0.12430555555555556</v>
      </c>
      <c r="P12" s="121">
        <v>0.96326999999999996</v>
      </c>
      <c r="Q12" t="s">
        <v>45</v>
      </c>
      <c r="R12" t="s">
        <v>45</v>
      </c>
      <c r="S12" t="s">
        <v>45</v>
      </c>
      <c r="T12" t="s">
        <v>45</v>
      </c>
      <c r="U12" s="7"/>
      <c r="V12" s="13">
        <f t="shared" si="15"/>
        <v>9.9999999999999947</v>
      </c>
      <c r="W12" s="13">
        <f t="shared" si="15"/>
        <v>104.99999999999999</v>
      </c>
      <c r="X12" s="40">
        <f t="shared" si="16"/>
        <v>31.000000000000004</v>
      </c>
      <c r="Y12" s="4">
        <f t="shared" si="16"/>
        <v>11</v>
      </c>
      <c r="Z12" s="4">
        <f t="shared" si="1"/>
        <v>-63.999999999999993</v>
      </c>
      <c r="AA12" s="4">
        <f t="shared" si="2"/>
        <v>-43.999999999999986</v>
      </c>
      <c r="AB12" s="4">
        <f t="shared" si="3"/>
        <v>-60.999999999999986</v>
      </c>
      <c r="AC12" s="13">
        <f t="shared" si="4"/>
        <v>3</v>
      </c>
      <c r="AD12" s="15">
        <f t="shared" si="5"/>
        <v>95</v>
      </c>
      <c r="AG12" s="18">
        <v>0</v>
      </c>
      <c r="AH12" s="19">
        <f t="shared" si="6"/>
        <v>30</v>
      </c>
      <c r="AI12" s="19">
        <v>180</v>
      </c>
      <c r="AJ12" s="19">
        <v>210</v>
      </c>
      <c r="AK12" s="20">
        <f t="shared" si="7"/>
        <v>21.000000000000004</v>
      </c>
      <c r="AL12" s="19">
        <f t="shared" si="17"/>
        <v>21.000000000000004</v>
      </c>
      <c r="AM12" s="19">
        <f t="shared" si="18"/>
        <v>41</v>
      </c>
      <c r="AN12" s="19">
        <f t="shared" si="8"/>
        <v>41</v>
      </c>
      <c r="AO12" s="19">
        <f t="shared" si="9"/>
        <v>146</v>
      </c>
      <c r="AP12" s="19">
        <f t="shared" si="19"/>
        <v>173</v>
      </c>
      <c r="AQ12" s="19">
        <f t="shared" si="10"/>
        <v>149</v>
      </c>
      <c r="AR12" s="19">
        <f t="shared" si="11"/>
        <v>275</v>
      </c>
      <c r="AS12" s="47">
        <f t="shared" si="12"/>
        <v>-111.8365</v>
      </c>
      <c r="AU12">
        <f t="shared" si="13"/>
        <v>-210</v>
      </c>
      <c r="AV12">
        <f t="shared" si="20"/>
        <v>-125</v>
      </c>
    </row>
    <row r="13" spans="1:48" ht="15.5">
      <c r="A13" s="30">
        <f t="shared" si="0"/>
        <v>45789</v>
      </c>
      <c r="B13" s="31">
        <v>45789</v>
      </c>
      <c r="C13" s="32" t="s">
        <v>184</v>
      </c>
      <c r="D13" s="33">
        <v>2.0833333333333332E-2</v>
      </c>
      <c r="E13" s="35">
        <v>4.1666666666666664E-2</v>
      </c>
      <c r="F13" s="34">
        <v>30</v>
      </c>
      <c r="G13" s="33">
        <v>0.16666666666666666</v>
      </c>
      <c r="H13" s="36">
        <v>179.99999999999997</v>
      </c>
      <c r="I13" s="37">
        <f t="shared" si="14"/>
        <v>0.14861111111111111</v>
      </c>
      <c r="J13" s="4">
        <v>6</v>
      </c>
      <c r="K13" s="7"/>
      <c r="L13" s="119">
        <v>4.8611111111111112E-2</v>
      </c>
      <c r="M13" s="119">
        <v>5.7638888888888892E-2</v>
      </c>
      <c r="N13" s="120">
        <v>0.14444444444444443</v>
      </c>
      <c r="O13" s="120">
        <v>0.14722222222222223</v>
      </c>
      <c r="P13" s="121">
        <v>0.95620000000000005</v>
      </c>
      <c r="Q13" t="s">
        <v>44</v>
      </c>
      <c r="R13" t="s">
        <v>45</v>
      </c>
      <c r="S13" t="s">
        <v>45</v>
      </c>
      <c r="T13" t="s">
        <v>45</v>
      </c>
      <c r="U13" s="7"/>
      <c r="V13" s="13">
        <f t="shared" si="15"/>
        <v>13.000000000000004</v>
      </c>
      <c r="W13" s="13">
        <f t="shared" si="15"/>
        <v>124.99999999999997</v>
      </c>
      <c r="X13" s="40">
        <f t="shared" si="16"/>
        <v>40</v>
      </c>
      <c r="Y13" s="4">
        <f t="shared" si="16"/>
        <v>23.000000000000007</v>
      </c>
      <c r="Z13" s="4">
        <f t="shared" si="1"/>
        <v>-32.000000000000007</v>
      </c>
      <c r="AA13" s="4">
        <f t="shared" si="2"/>
        <v>-15</v>
      </c>
      <c r="AB13" s="4">
        <f t="shared" si="3"/>
        <v>-27.999999999999979</v>
      </c>
      <c r="AC13" s="13">
        <f t="shared" si="4"/>
        <v>4</v>
      </c>
      <c r="AD13" s="15">
        <f t="shared" si="5"/>
        <v>72</v>
      </c>
      <c r="AG13" s="18">
        <v>0</v>
      </c>
      <c r="AH13" s="19">
        <f t="shared" si="6"/>
        <v>30</v>
      </c>
      <c r="AI13" s="19">
        <v>180</v>
      </c>
      <c r="AJ13" s="19">
        <v>210</v>
      </c>
      <c r="AK13" s="20">
        <f t="shared" si="7"/>
        <v>30</v>
      </c>
      <c r="AL13" s="19">
        <f t="shared" si="17"/>
        <v>30</v>
      </c>
      <c r="AM13" s="19">
        <f t="shared" si="18"/>
        <v>53.000000000000007</v>
      </c>
      <c r="AN13" s="19">
        <f t="shared" si="8"/>
        <v>53.000000000000007</v>
      </c>
      <c r="AO13" s="19">
        <f t="shared" si="9"/>
        <v>177.99999999999997</v>
      </c>
      <c r="AP13" s="19">
        <f t="shared" si="19"/>
        <v>189</v>
      </c>
      <c r="AQ13" s="19">
        <f t="shared" si="10"/>
        <v>181.99999999999997</v>
      </c>
      <c r="AR13" s="19">
        <f t="shared" si="11"/>
        <v>252</v>
      </c>
      <c r="AS13" s="47">
        <f t="shared" si="12"/>
        <v>-112.19</v>
      </c>
      <c r="AU13">
        <f t="shared" si="13"/>
        <v>-50</v>
      </c>
    </row>
    <row r="14" spans="1:48" ht="15.5">
      <c r="A14" s="30">
        <f t="shared" si="0"/>
        <v>45790</v>
      </c>
      <c r="B14" s="31">
        <v>45790</v>
      </c>
      <c r="C14" s="32" t="s">
        <v>184</v>
      </c>
      <c r="D14" s="33">
        <v>2.0833333333333332E-2</v>
      </c>
      <c r="E14" s="35">
        <v>4.1666666666666664E-2</v>
      </c>
      <c r="F14" s="34">
        <v>30</v>
      </c>
      <c r="G14" s="33">
        <v>0.16666666666666666</v>
      </c>
      <c r="H14" s="36">
        <v>179.99999999999997</v>
      </c>
      <c r="I14" s="37">
        <f t="shared" si="14"/>
        <v>0.14236111111111113</v>
      </c>
      <c r="J14" s="4">
        <v>6</v>
      </c>
      <c r="K14" s="7"/>
      <c r="L14" s="119">
        <v>6.0416666666666667E-2</v>
      </c>
      <c r="M14" s="119">
        <v>6.805555555555555E-2</v>
      </c>
      <c r="N14" s="120">
        <v>0.13819444444444445</v>
      </c>
      <c r="O14" s="120">
        <v>0.14097222222222222</v>
      </c>
      <c r="P14" s="121">
        <v>0.96989999999999998</v>
      </c>
      <c r="Q14" t="s">
        <v>45</v>
      </c>
      <c r="R14" t="s">
        <v>45</v>
      </c>
      <c r="S14" t="s">
        <v>45</v>
      </c>
      <c r="T14" t="s">
        <v>45</v>
      </c>
      <c r="U14" s="7"/>
      <c r="V14" s="13">
        <f t="shared" si="15"/>
        <v>10.999999999999991</v>
      </c>
      <c r="W14" s="13">
        <f t="shared" si="15"/>
        <v>101.00000000000001</v>
      </c>
      <c r="X14" s="40">
        <f t="shared" si="16"/>
        <v>57</v>
      </c>
      <c r="Y14" s="4">
        <f t="shared" si="16"/>
        <v>37.999999999999993</v>
      </c>
      <c r="Z14" s="4">
        <f t="shared" si="1"/>
        <v>-40.999999999999972</v>
      </c>
      <c r="AA14" s="4">
        <f t="shared" si="2"/>
        <v>-21.999999999999957</v>
      </c>
      <c r="AB14" s="4">
        <f t="shared" si="3"/>
        <v>-36.999999999999986</v>
      </c>
      <c r="AC14" s="13">
        <f t="shared" si="4"/>
        <v>4</v>
      </c>
      <c r="AD14" s="15">
        <f t="shared" si="5"/>
        <v>97.999999999999972</v>
      </c>
      <c r="AG14" s="18">
        <v>0</v>
      </c>
      <c r="AH14" s="19">
        <f t="shared" si="6"/>
        <v>30</v>
      </c>
      <c r="AI14" s="19">
        <v>180</v>
      </c>
      <c r="AJ14" s="19">
        <v>210</v>
      </c>
      <c r="AK14" s="20">
        <f t="shared" si="7"/>
        <v>47</v>
      </c>
      <c r="AL14" s="19">
        <f t="shared" si="17"/>
        <v>47</v>
      </c>
      <c r="AM14" s="19">
        <f t="shared" si="18"/>
        <v>68</v>
      </c>
      <c r="AN14" s="19">
        <f t="shared" si="8"/>
        <v>68</v>
      </c>
      <c r="AO14" s="19">
        <f t="shared" si="9"/>
        <v>169</v>
      </c>
      <c r="AP14" s="19">
        <f t="shared" si="19"/>
        <v>184.5</v>
      </c>
      <c r="AQ14" s="19">
        <f t="shared" si="10"/>
        <v>173</v>
      </c>
      <c r="AR14" s="19">
        <f t="shared" si="11"/>
        <v>278</v>
      </c>
      <c r="AS14" s="47">
        <f t="shared" si="12"/>
        <v>-111.505</v>
      </c>
      <c r="AU14">
        <f t="shared" si="13"/>
        <v>-210</v>
      </c>
    </row>
    <row r="15" spans="1:48" ht="15.5">
      <c r="A15" s="30">
        <f t="shared" si="0"/>
        <v>45791</v>
      </c>
      <c r="B15" s="31">
        <v>45791</v>
      </c>
      <c r="C15" s="32" t="s">
        <v>184</v>
      </c>
      <c r="D15" s="33">
        <v>2.0833333333333332E-2</v>
      </c>
      <c r="E15" s="35">
        <v>4.1666666666666664E-2</v>
      </c>
      <c r="F15" s="34">
        <v>30</v>
      </c>
      <c r="G15" s="33">
        <v>0.16666666666666666</v>
      </c>
      <c r="H15" s="36">
        <v>179.99999999999997</v>
      </c>
      <c r="I15" s="37">
        <f t="shared" si="14"/>
        <v>0.1388888888888889</v>
      </c>
      <c r="J15" s="4">
        <v>6</v>
      </c>
      <c r="K15" s="7"/>
      <c r="L15" s="119">
        <v>4.3749999999999997E-2</v>
      </c>
      <c r="M15" s="119">
        <v>5.486111111111111E-2</v>
      </c>
      <c r="N15" s="120">
        <v>0.13472222222222222</v>
      </c>
      <c r="O15" s="120">
        <v>0.13819444444444445</v>
      </c>
      <c r="P15" s="121">
        <v>1.00444</v>
      </c>
      <c r="Q15" t="s">
        <v>45</v>
      </c>
      <c r="R15" t="s">
        <v>45</v>
      </c>
      <c r="S15" t="s">
        <v>45</v>
      </c>
      <c r="T15" t="s">
        <v>45</v>
      </c>
      <c r="U15" s="7"/>
      <c r="V15" s="13">
        <f t="shared" si="15"/>
        <v>16.000000000000004</v>
      </c>
      <c r="W15" s="13">
        <f t="shared" si="15"/>
        <v>114.99999999999999</v>
      </c>
      <c r="X15" s="40">
        <f t="shared" si="16"/>
        <v>33</v>
      </c>
      <c r="Y15" s="4">
        <f t="shared" si="16"/>
        <v>19.000000000000004</v>
      </c>
      <c r="Z15" s="4">
        <f t="shared" si="1"/>
        <v>-46</v>
      </c>
      <c r="AA15" s="4">
        <f t="shared" si="2"/>
        <v>-31.999999999999986</v>
      </c>
      <c r="AB15" s="4">
        <f t="shared" si="3"/>
        <v>-40.999999999999972</v>
      </c>
      <c r="AC15" s="13">
        <f t="shared" si="4"/>
        <v>5</v>
      </c>
      <c r="AD15" s="15">
        <f t="shared" si="5"/>
        <v>79</v>
      </c>
      <c r="AG15" s="18">
        <v>0</v>
      </c>
      <c r="AH15" s="19">
        <f t="shared" si="6"/>
        <v>30</v>
      </c>
      <c r="AI15" s="19">
        <v>180</v>
      </c>
      <c r="AJ15" s="19">
        <v>210</v>
      </c>
      <c r="AK15" s="20">
        <f t="shared" si="7"/>
        <v>23</v>
      </c>
      <c r="AL15" s="19">
        <f t="shared" si="17"/>
        <v>23</v>
      </c>
      <c r="AM15" s="19">
        <f t="shared" si="18"/>
        <v>49</v>
      </c>
      <c r="AN15" s="19">
        <f t="shared" si="8"/>
        <v>49</v>
      </c>
      <c r="AO15" s="19">
        <f t="shared" si="9"/>
        <v>164</v>
      </c>
      <c r="AP15" s="19">
        <f t="shared" si="19"/>
        <v>182</v>
      </c>
      <c r="AQ15" s="19">
        <f t="shared" si="10"/>
        <v>169</v>
      </c>
      <c r="AR15" s="19">
        <f t="shared" si="11"/>
        <v>259</v>
      </c>
      <c r="AS15" s="47">
        <f t="shared" si="12"/>
        <v>-109.77799999999999</v>
      </c>
      <c r="AU15">
        <f t="shared" si="13"/>
        <v>-210</v>
      </c>
    </row>
    <row r="16" spans="1:48" ht="15.5">
      <c r="A16" s="30">
        <f t="shared" si="0"/>
        <v>45792</v>
      </c>
      <c r="B16" s="31">
        <v>45792</v>
      </c>
      <c r="C16" s="32" t="s">
        <v>184</v>
      </c>
      <c r="D16" s="33">
        <v>2.0833333333333332E-2</v>
      </c>
      <c r="E16" s="35">
        <v>4.1666666666666664E-2</v>
      </c>
      <c r="F16" s="34">
        <v>30</v>
      </c>
      <c r="G16" s="33">
        <v>0.16666666666666666</v>
      </c>
      <c r="H16" s="36">
        <v>179.99999999999997</v>
      </c>
      <c r="I16" s="37">
        <f t="shared" si="14"/>
        <v>0.14305555555555557</v>
      </c>
      <c r="J16" s="4">
        <v>6</v>
      </c>
      <c r="K16" s="7"/>
      <c r="L16" s="119">
        <v>5.2083333333333336E-2</v>
      </c>
      <c r="M16" s="119">
        <v>5.9027777777777776E-2</v>
      </c>
      <c r="N16" s="120">
        <v>0.1388888888888889</v>
      </c>
      <c r="O16" s="120">
        <v>0.14166666666666666</v>
      </c>
      <c r="P16" s="121">
        <v>1.0394000000000001</v>
      </c>
      <c r="Q16" t="s">
        <v>44</v>
      </c>
      <c r="R16" t="s">
        <v>45</v>
      </c>
      <c r="S16" t="s">
        <v>45</v>
      </c>
      <c r="T16" t="s">
        <v>45</v>
      </c>
      <c r="U16" s="7"/>
      <c r="V16" s="13">
        <f t="shared" si="15"/>
        <v>9.9999999999999947</v>
      </c>
      <c r="W16" s="13">
        <f t="shared" si="15"/>
        <v>115.00000000000001</v>
      </c>
      <c r="X16" s="40">
        <f t="shared" si="16"/>
        <v>45</v>
      </c>
      <c r="Y16" s="4">
        <f t="shared" si="16"/>
        <v>25</v>
      </c>
      <c r="Z16" s="4">
        <f t="shared" si="1"/>
        <v>-39.999999999999979</v>
      </c>
      <c r="AA16" s="4">
        <f t="shared" si="2"/>
        <v>-19.999999999999957</v>
      </c>
      <c r="AB16" s="4">
        <f t="shared" si="3"/>
        <v>-35.999999999999993</v>
      </c>
      <c r="AC16" s="13">
        <f t="shared" si="4"/>
        <v>4</v>
      </c>
      <c r="AD16" s="15">
        <f t="shared" si="5"/>
        <v>84.999999999999972</v>
      </c>
      <c r="AG16" s="18">
        <v>0</v>
      </c>
      <c r="AH16" s="19">
        <f t="shared" si="6"/>
        <v>30</v>
      </c>
      <c r="AI16" s="19">
        <v>180</v>
      </c>
      <c r="AJ16" s="19">
        <v>210</v>
      </c>
      <c r="AK16" s="20">
        <f t="shared" si="7"/>
        <v>35</v>
      </c>
      <c r="AL16" s="19">
        <f t="shared" si="17"/>
        <v>35</v>
      </c>
      <c r="AM16" s="19">
        <f t="shared" si="18"/>
        <v>55</v>
      </c>
      <c r="AN16" s="19">
        <f t="shared" si="8"/>
        <v>55</v>
      </c>
      <c r="AO16" s="19">
        <f t="shared" si="9"/>
        <v>170</v>
      </c>
      <c r="AP16" s="19">
        <f t="shared" si="19"/>
        <v>185</v>
      </c>
      <c r="AQ16" s="19">
        <f t="shared" si="10"/>
        <v>174</v>
      </c>
      <c r="AR16" s="19">
        <f t="shared" si="11"/>
        <v>265</v>
      </c>
      <c r="AS16" s="47">
        <f t="shared" si="12"/>
        <v>-108.03</v>
      </c>
      <c r="AU16">
        <f t="shared" si="13"/>
        <v>-50</v>
      </c>
      <c r="AV16">
        <f t="shared" si="20"/>
        <v>-125</v>
      </c>
    </row>
    <row r="17" spans="1:48" ht="15.5">
      <c r="A17" s="30">
        <f t="shared" si="0"/>
        <v>45793</v>
      </c>
      <c r="B17" s="31">
        <v>45793</v>
      </c>
      <c r="C17" s="32" t="s">
        <v>184</v>
      </c>
      <c r="D17" s="33">
        <v>2.0833333333333332E-2</v>
      </c>
      <c r="E17" s="35">
        <v>4.1666666666666664E-2</v>
      </c>
      <c r="F17" s="34">
        <v>30</v>
      </c>
      <c r="G17" s="33">
        <v>0.16666666666666666</v>
      </c>
      <c r="H17" s="36">
        <v>179.99999999999997</v>
      </c>
      <c r="I17" s="37">
        <f t="shared" si="14"/>
        <v>0.14444444444444446</v>
      </c>
      <c r="J17" s="4">
        <v>6</v>
      </c>
      <c r="K17" s="7"/>
      <c r="L17" s="119">
        <v>6.1805555555555558E-2</v>
      </c>
      <c r="M17" s="119">
        <v>6.8750000000000006E-2</v>
      </c>
      <c r="N17" s="120">
        <v>0.14027777777777778</v>
      </c>
      <c r="O17" s="120">
        <v>0.14305555555555555</v>
      </c>
      <c r="P17" s="121">
        <v>0.96550999999999998</v>
      </c>
      <c r="Q17" t="s">
        <v>44</v>
      </c>
      <c r="R17" t="s">
        <v>45</v>
      </c>
      <c r="S17" t="s">
        <v>45</v>
      </c>
      <c r="T17" t="s">
        <v>45</v>
      </c>
      <c r="U17" s="7"/>
      <c r="V17" s="13">
        <f t="shared" si="15"/>
        <v>10.000000000000004</v>
      </c>
      <c r="W17" s="13">
        <f t="shared" si="15"/>
        <v>103</v>
      </c>
      <c r="X17" s="40">
        <f t="shared" si="16"/>
        <v>59.000000000000007</v>
      </c>
      <c r="Y17" s="4">
        <f t="shared" si="16"/>
        <v>39.000000000000014</v>
      </c>
      <c r="Z17" s="4">
        <f t="shared" si="1"/>
        <v>-37.999999999999986</v>
      </c>
      <c r="AA17" s="4">
        <f t="shared" si="2"/>
        <v>-17.999999999999972</v>
      </c>
      <c r="AB17" s="4">
        <f t="shared" si="3"/>
        <v>-34</v>
      </c>
      <c r="AC17" s="13">
        <f t="shared" si="4"/>
        <v>4</v>
      </c>
      <c r="AD17" s="15">
        <f t="shared" si="5"/>
        <v>97</v>
      </c>
      <c r="AG17" s="18">
        <v>0</v>
      </c>
      <c r="AH17" s="19">
        <f t="shared" si="6"/>
        <v>30</v>
      </c>
      <c r="AI17" s="19">
        <v>180</v>
      </c>
      <c r="AJ17" s="19">
        <v>210</v>
      </c>
      <c r="AK17" s="20">
        <f t="shared" si="7"/>
        <v>49.000000000000007</v>
      </c>
      <c r="AL17" s="19">
        <f t="shared" si="17"/>
        <v>49.000000000000007</v>
      </c>
      <c r="AM17" s="19">
        <f t="shared" si="18"/>
        <v>69.000000000000014</v>
      </c>
      <c r="AN17" s="19">
        <f t="shared" si="8"/>
        <v>69.000000000000014</v>
      </c>
      <c r="AO17" s="19">
        <f t="shared" si="9"/>
        <v>172</v>
      </c>
      <c r="AP17" s="19">
        <f t="shared" si="19"/>
        <v>186</v>
      </c>
      <c r="AQ17" s="19">
        <f t="shared" si="10"/>
        <v>176</v>
      </c>
      <c r="AR17" s="19">
        <f t="shared" si="11"/>
        <v>277</v>
      </c>
      <c r="AS17" s="47">
        <f t="shared" si="12"/>
        <v>-111.72450000000001</v>
      </c>
      <c r="AU17">
        <f t="shared" si="13"/>
        <v>-50</v>
      </c>
      <c r="AV17">
        <f t="shared" si="20"/>
        <v>-125</v>
      </c>
    </row>
    <row r="18" spans="1:48" ht="15.5">
      <c r="A18" s="30">
        <f t="shared" si="0"/>
        <v>45794</v>
      </c>
      <c r="B18" s="31">
        <v>45794</v>
      </c>
      <c r="C18" s="32" t="s">
        <v>184</v>
      </c>
      <c r="D18" s="33">
        <v>2.0833333333333332E-2</v>
      </c>
      <c r="E18" s="35">
        <v>4.1666666666666664E-2</v>
      </c>
      <c r="F18" s="34">
        <v>30</v>
      </c>
      <c r="G18" s="33">
        <v>0.16666666666666666</v>
      </c>
      <c r="H18" s="36">
        <v>179.99999999999997</v>
      </c>
      <c r="I18" s="37">
        <f t="shared" si="14"/>
        <v>0.12222222222222222</v>
      </c>
      <c r="J18" s="4">
        <v>6</v>
      </c>
      <c r="K18" s="7"/>
      <c r="L18" s="119">
        <v>4.027777777777778E-2</v>
      </c>
      <c r="M18" s="119">
        <v>0.05</v>
      </c>
      <c r="N18" s="120">
        <v>0.11805555555555555</v>
      </c>
      <c r="O18" s="120">
        <v>0.12083333333333333</v>
      </c>
      <c r="P18" s="121">
        <v>0.96562999999999999</v>
      </c>
      <c r="Q18" t="s">
        <v>44</v>
      </c>
      <c r="R18" t="s">
        <v>45</v>
      </c>
      <c r="S18" t="s">
        <v>45</v>
      </c>
      <c r="T18" t="s">
        <v>45</v>
      </c>
      <c r="U18" s="7"/>
      <c r="V18" s="13">
        <f t="shared" si="15"/>
        <v>14</v>
      </c>
      <c r="W18" s="13">
        <f t="shared" si="15"/>
        <v>97.999999999999986</v>
      </c>
      <c r="X18" s="40">
        <f t="shared" si="16"/>
        <v>28.000000000000007</v>
      </c>
      <c r="Y18" s="4">
        <f t="shared" si="16"/>
        <v>12.000000000000007</v>
      </c>
      <c r="Z18" s="4">
        <f t="shared" si="1"/>
        <v>-69.999999999999986</v>
      </c>
      <c r="AA18" s="4">
        <f t="shared" si="2"/>
        <v>-53.999999999999986</v>
      </c>
      <c r="AB18" s="4">
        <f t="shared" si="3"/>
        <v>-65.999999999999986</v>
      </c>
      <c r="AC18" s="13">
        <f t="shared" si="4"/>
        <v>4</v>
      </c>
      <c r="AD18" s="15">
        <f t="shared" si="5"/>
        <v>98</v>
      </c>
      <c r="AG18" s="18">
        <v>0</v>
      </c>
      <c r="AH18" s="19">
        <f t="shared" si="6"/>
        <v>30</v>
      </c>
      <c r="AI18" s="19">
        <v>180</v>
      </c>
      <c r="AJ18" s="19">
        <v>210</v>
      </c>
      <c r="AK18" s="20">
        <f t="shared" si="7"/>
        <v>18.000000000000007</v>
      </c>
      <c r="AL18" s="19">
        <f t="shared" si="17"/>
        <v>18.000000000000007</v>
      </c>
      <c r="AM18" s="19">
        <f t="shared" si="18"/>
        <v>42.000000000000007</v>
      </c>
      <c r="AN18" s="19">
        <f t="shared" si="8"/>
        <v>42.000000000000007</v>
      </c>
      <c r="AO18" s="19">
        <f t="shared" si="9"/>
        <v>140</v>
      </c>
      <c r="AP18" s="19">
        <f t="shared" si="19"/>
        <v>170</v>
      </c>
      <c r="AQ18" s="19">
        <f t="shared" si="10"/>
        <v>144</v>
      </c>
      <c r="AR18" s="19">
        <f t="shared" si="11"/>
        <v>278</v>
      </c>
      <c r="AS18" s="47">
        <f t="shared" si="12"/>
        <v>-111.71850000000001</v>
      </c>
      <c r="AU18">
        <f t="shared" si="13"/>
        <v>-50</v>
      </c>
      <c r="AV18">
        <f t="shared" si="20"/>
        <v>-125</v>
      </c>
    </row>
    <row r="19" spans="1:48" ht="15.5">
      <c r="A19" s="30">
        <f t="shared" si="0"/>
        <v>45795</v>
      </c>
      <c r="B19" s="31">
        <v>45795</v>
      </c>
      <c r="C19" s="32" t="s">
        <v>184</v>
      </c>
      <c r="D19" s="33">
        <v>2.0833333333333332E-2</v>
      </c>
      <c r="E19" s="35">
        <v>4.1666666666666664E-2</v>
      </c>
      <c r="F19" s="34">
        <v>30</v>
      </c>
      <c r="G19" s="33">
        <v>0.16666666666666666</v>
      </c>
      <c r="H19" s="36">
        <v>179.99999999999997</v>
      </c>
      <c r="I19" s="37">
        <f t="shared" si="14"/>
        <v>0.13541666666666669</v>
      </c>
      <c r="J19" s="4">
        <v>6</v>
      </c>
      <c r="K19" s="7"/>
      <c r="L19" s="119">
        <v>3.2638888888888891E-2</v>
      </c>
      <c r="M19" s="119">
        <v>4.0972222222222222E-2</v>
      </c>
      <c r="N19" s="120">
        <v>0.13125000000000001</v>
      </c>
      <c r="O19" s="120">
        <v>0.13402777777777777</v>
      </c>
      <c r="P19" s="121">
        <v>0.97321000000000002</v>
      </c>
      <c r="Q19" t="s">
        <v>45</v>
      </c>
      <c r="R19" t="s">
        <v>45</v>
      </c>
      <c r="S19" t="s">
        <v>45</v>
      </c>
      <c r="T19" t="s">
        <v>45</v>
      </c>
      <c r="U19" s="7"/>
      <c r="V19" s="13">
        <f t="shared" si="15"/>
        <v>11.999999999999996</v>
      </c>
      <c r="W19" s="13">
        <f t="shared" si="15"/>
        <v>130.00000000000003</v>
      </c>
      <c r="X19" s="40">
        <f t="shared" si="16"/>
        <v>17.000000000000004</v>
      </c>
      <c r="Y19" s="4">
        <f t="shared" si="16"/>
        <v>-0.99999999999999645</v>
      </c>
      <c r="Z19" s="4">
        <f t="shared" si="1"/>
        <v>-50.999999999999979</v>
      </c>
      <c r="AA19" s="4">
        <f t="shared" si="2"/>
        <v>-32.999999999999943</v>
      </c>
      <c r="AB19" s="4">
        <f t="shared" si="3"/>
        <v>-46.999999999999993</v>
      </c>
      <c r="AC19" s="13">
        <f t="shared" si="4"/>
        <v>4</v>
      </c>
      <c r="AD19" s="15">
        <f t="shared" si="5"/>
        <v>67.999999999999986</v>
      </c>
      <c r="AG19" s="18">
        <v>0</v>
      </c>
      <c r="AH19" s="19">
        <f t="shared" si="6"/>
        <v>30</v>
      </c>
      <c r="AI19" s="19">
        <v>180</v>
      </c>
      <c r="AJ19" s="19">
        <v>210</v>
      </c>
      <c r="AK19" s="20">
        <f t="shared" si="7"/>
        <v>7.0000000000000036</v>
      </c>
      <c r="AL19" s="19">
        <f t="shared" si="17"/>
        <v>7.0000000000000036</v>
      </c>
      <c r="AM19" s="19">
        <f t="shared" si="18"/>
        <v>29.000000000000004</v>
      </c>
      <c r="AN19" s="19">
        <f t="shared" si="8"/>
        <v>29.000000000000004</v>
      </c>
      <c r="AO19" s="19">
        <f t="shared" si="9"/>
        <v>159.00000000000003</v>
      </c>
      <c r="AP19" s="19">
        <f t="shared" si="19"/>
        <v>179.5</v>
      </c>
      <c r="AQ19" s="19">
        <f t="shared" si="10"/>
        <v>163.00000000000003</v>
      </c>
      <c r="AR19" s="19">
        <f t="shared" si="11"/>
        <v>248</v>
      </c>
      <c r="AS19" s="47">
        <f t="shared" si="12"/>
        <v>-111.3395</v>
      </c>
      <c r="AU19">
        <f t="shared" si="13"/>
        <v>-210</v>
      </c>
      <c r="AV19">
        <f t="shared" si="20"/>
        <v>-125</v>
      </c>
    </row>
    <row r="20" spans="1:48" ht="15.5">
      <c r="A20" s="30">
        <f t="shared" si="0"/>
        <v>45796</v>
      </c>
      <c r="B20" s="31">
        <v>45796</v>
      </c>
      <c r="C20" s="32" t="s">
        <v>184</v>
      </c>
      <c r="D20" s="33">
        <v>2.0833333333333332E-2</v>
      </c>
      <c r="E20" s="35">
        <v>4.1666666666666664E-2</v>
      </c>
      <c r="F20" s="34">
        <v>30</v>
      </c>
      <c r="G20" s="33">
        <v>0.16666666666666666</v>
      </c>
      <c r="H20" s="36">
        <v>179.99999999999997</v>
      </c>
      <c r="I20" s="37">
        <f t="shared" si="14"/>
        <v>0.12847222222222224</v>
      </c>
      <c r="J20" s="4">
        <v>6</v>
      </c>
      <c r="K20" s="7"/>
      <c r="L20" s="119">
        <v>4.7222222222222221E-2</v>
      </c>
      <c r="M20" s="119">
        <v>5.6944444444444443E-2</v>
      </c>
      <c r="N20" s="120">
        <v>0.12430555555555556</v>
      </c>
      <c r="O20" s="120">
        <v>0.12708333333333333</v>
      </c>
      <c r="P20" s="121">
        <v>0.96531999999999996</v>
      </c>
      <c r="Q20" t="s">
        <v>44</v>
      </c>
      <c r="R20" t="s">
        <v>45</v>
      </c>
      <c r="S20" t="s">
        <v>45</v>
      </c>
      <c r="T20" t="s">
        <v>45</v>
      </c>
      <c r="U20" s="7"/>
      <c r="V20" s="13">
        <f t="shared" si="15"/>
        <v>14</v>
      </c>
      <c r="W20" s="13">
        <f t="shared" si="15"/>
        <v>97.000000000000014</v>
      </c>
      <c r="X20" s="40">
        <f t="shared" si="16"/>
        <v>38</v>
      </c>
      <c r="Y20" s="4">
        <f t="shared" si="16"/>
        <v>22</v>
      </c>
      <c r="Z20" s="4">
        <f t="shared" si="1"/>
        <v>-60.999999999999986</v>
      </c>
      <c r="AA20" s="4">
        <f t="shared" si="2"/>
        <v>-44.999999999999957</v>
      </c>
      <c r="AB20" s="4">
        <f t="shared" si="3"/>
        <v>-57</v>
      </c>
      <c r="AC20" s="13">
        <f t="shared" si="4"/>
        <v>4</v>
      </c>
      <c r="AD20" s="15">
        <f t="shared" si="5"/>
        <v>98.999999999999986</v>
      </c>
      <c r="AG20" s="18">
        <v>0</v>
      </c>
      <c r="AH20" s="19">
        <f t="shared" si="6"/>
        <v>30</v>
      </c>
      <c r="AI20" s="19">
        <v>180</v>
      </c>
      <c r="AJ20" s="19">
        <v>210</v>
      </c>
      <c r="AK20" s="20">
        <f t="shared" si="7"/>
        <v>28</v>
      </c>
      <c r="AL20" s="19">
        <f t="shared" si="17"/>
        <v>28</v>
      </c>
      <c r="AM20" s="19">
        <f t="shared" si="18"/>
        <v>52</v>
      </c>
      <c r="AN20" s="19">
        <f t="shared" si="8"/>
        <v>52</v>
      </c>
      <c r="AO20" s="19">
        <f t="shared" si="9"/>
        <v>149</v>
      </c>
      <c r="AP20" s="19">
        <f t="shared" si="19"/>
        <v>174.5</v>
      </c>
      <c r="AQ20" s="19">
        <f t="shared" si="10"/>
        <v>153</v>
      </c>
      <c r="AR20" s="19">
        <f t="shared" si="11"/>
        <v>279</v>
      </c>
      <c r="AS20" s="47">
        <f t="shared" si="12"/>
        <v>-111.73400000000001</v>
      </c>
      <c r="AU20">
        <f t="shared" si="13"/>
        <v>-50</v>
      </c>
    </row>
    <row r="21" spans="1:48" ht="15.5">
      <c r="A21" s="30">
        <f t="shared" si="0"/>
        <v>45797</v>
      </c>
      <c r="B21" s="31">
        <v>45797</v>
      </c>
      <c r="C21" s="32" t="s">
        <v>184</v>
      </c>
      <c r="D21" s="33">
        <v>2.0833333333333332E-2</v>
      </c>
      <c r="E21" s="35">
        <v>4.1666666666666664E-2</v>
      </c>
      <c r="F21" s="34">
        <v>30</v>
      </c>
      <c r="G21" s="33">
        <v>0.16666666666666666</v>
      </c>
      <c r="H21" s="36">
        <v>179.99999999999997</v>
      </c>
      <c r="I21" s="37">
        <f t="shared" si="14"/>
        <v>0.11805555555555555</v>
      </c>
      <c r="J21" s="4">
        <v>6</v>
      </c>
      <c r="K21" s="7"/>
      <c r="L21" s="119">
        <v>4.3749999999999997E-2</v>
      </c>
      <c r="M21" s="119">
        <v>5.2083333333333336E-2</v>
      </c>
      <c r="N21" s="120">
        <v>0.11388888888888889</v>
      </c>
      <c r="O21" s="120">
        <v>0.11666666666666667</v>
      </c>
      <c r="P21" s="121">
        <v>0.98375999999999997</v>
      </c>
      <c r="Q21" t="s">
        <v>44</v>
      </c>
      <c r="R21" t="s">
        <v>45</v>
      </c>
      <c r="S21" t="s">
        <v>45</v>
      </c>
      <c r="T21" t="s">
        <v>45</v>
      </c>
      <c r="U21" s="7"/>
      <c r="V21" s="13">
        <f t="shared" si="15"/>
        <v>12.000000000000007</v>
      </c>
      <c r="W21" s="13">
        <f t="shared" si="15"/>
        <v>89</v>
      </c>
      <c r="X21" s="40">
        <f t="shared" si="16"/>
        <v>33</v>
      </c>
      <c r="Y21" s="4">
        <f t="shared" si="16"/>
        <v>15.000000000000007</v>
      </c>
      <c r="Z21" s="4">
        <f t="shared" si="1"/>
        <v>-75.999999999999986</v>
      </c>
      <c r="AA21" s="4">
        <f t="shared" si="2"/>
        <v>-57.999999999999972</v>
      </c>
      <c r="AB21" s="4">
        <f t="shared" si="3"/>
        <v>-71.999999999999986</v>
      </c>
      <c r="AC21" s="13">
        <f t="shared" si="4"/>
        <v>4</v>
      </c>
      <c r="AD21" s="15">
        <f t="shared" si="5"/>
        <v>108.99999999999999</v>
      </c>
      <c r="AG21" s="18">
        <v>0</v>
      </c>
      <c r="AH21" s="19">
        <f t="shared" si="6"/>
        <v>30</v>
      </c>
      <c r="AI21" s="19">
        <v>180</v>
      </c>
      <c r="AJ21" s="19">
        <v>210</v>
      </c>
      <c r="AK21" s="20">
        <f t="shared" si="7"/>
        <v>23</v>
      </c>
      <c r="AL21" s="19">
        <f>AK21</f>
        <v>23</v>
      </c>
      <c r="AM21" s="19">
        <f t="shared" si="18"/>
        <v>45.000000000000007</v>
      </c>
      <c r="AN21" s="19">
        <f t="shared" si="8"/>
        <v>45.000000000000007</v>
      </c>
      <c r="AO21" s="19">
        <f t="shared" si="9"/>
        <v>134</v>
      </c>
      <c r="AP21" s="19">
        <f t="shared" si="19"/>
        <v>167</v>
      </c>
      <c r="AQ21" s="19">
        <f t="shared" si="10"/>
        <v>138</v>
      </c>
      <c r="AR21" s="19">
        <f t="shared" si="11"/>
        <v>289</v>
      </c>
      <c r="AS21" s="47">
        <f t="shared" si="12"/>
        <v>-110.81200000000001</v>
      </c>
      <c r="AU21">
        <f t="shared" si="13"/>
        <v>-50</v>
      </c>
    </row>
    <row r="22" spans="1:48" ht="15.5">
      <c r="A22" s="30">
        <f t="shared" si="0"/>
        <v>45798</v>
      </c>
      <c r="B22" s="31">
        <v>45798</v>
      </c>
      <c r="C22" s="32" t="s">
        <v>184</v>
      </c>
      <c r="D22" s="33">
        <v>2.0833333333333332E-2</v>
      </c>
      <c r="E22" s="35">
        <v>4.1666666666666664E-2</v>
      </c>
      <c r="F22" s="34">
        <v>30</v>
      </c>
      <c r="G22" s="33">
        <v>0.16666666666666666</v>
      </c>
      <c r="H22" s="36">
        <v>179.99999999999997</v>
      </c>
      <c r="I22" s="37">
        <f t="shared" si="14"/>
        <v>0.13333333333333336</v>
      </c>
      <c r="J22" s="4">
        <v>6</v>
      </c>
      <c r="K22" s="7"/>
      <c r="L22" s="119">
        <v>5.2083333333333336E-2</v>
      </c>
      <c r="M22" s="119">
        <v>6.1111111111111109E-2</v>
      </c>
      <c r="N22" s="120">
        <v>0.12916666666666668</v>
      </c>
      <c r="O22" s="120">
        <v>0.13194444444444445</v>
      </c>
      <c r="P22" s="121">
        <v>1.0170399999999999</v>
      </c>
      <c r="Q22" t="s">
        <v>45</v>
      </c>
      <c r="R22" t="s">
        <v>45</v>
      </c>
      <c r="S22" t="s">
        <v>45</v>
      </c>
      <c r="T22" t="s">
        <v>45</v>
      </c>
      <c r="U22" s="7"/>
      <c r="V22" s="13">
        <f t="shared" si="15"/>
        <v>12.999999999999993</v>
      </c>
      <c r="W22" s="13">
        <f t="shared" si="15"/>
        <v>98.000000000000014</v>
      </c>
      <c r="X22" s="40">
        <f t="shared" si="16"/>
        <v>45</v>
      </c>
      <c r="Y22" s="4">
        <f t="shared" si="16"/>
        <v>28</v>
      </c>
      <c r="Z22" s="4">
        <f t="shared" si="1"/>
        <v>-53.999999999999972</v>
      </c>
      <c r="AA22" s="4">
        <f t="shared" si="2"/>
        <v>-36.999999999999957</v>
      </c>
      <c r="AB22" s="4">
        <f t="shared" si="3"/>
        <v>-49.999999999999986</v>
      </c>
      <c r="AC22" s="13">
        <f t="shared" si="4"/>
        <v>4</v>
      </c>
      <c r="AD22" s="15">
        <f t="shared" si="5"/>
        <v>98.999999999999972</v>
      </c>
      <c r="AG22" s="18">
        <v>0</v>
      </c>
      <c r="AH22" s="19">
        <f t="shared" si="6"/>
        <v>30</v>
      </c>
      <c r="AI22" s="19">
        <v>180</v>
      </c>
      <c r="AJ22" s="19">
        <v>210</v>
      </c>
      <c r="AK22" s="20">
        <f t="shared" si="7"/>
        <v>35</v>
      </c>
      <c r="AL22" s="19">
        <f t="shared" ref="AL22:AL31" si="21">AK22</f>
        <v>35</v>
      </c>
      <c r="AM22" s="19">
        <f t="shared" si="18"/>
        <v>58</v>
      </c>
      <c r="AN22" s="19">
        <f t="shared" si="8"/>
        <v>58</v>
      </c>
      <c r="AO22" s="19">
        <f t="shared" si="9"/>
        <v>156</v>
      </c>
      <c r="AP22" s="19">
        <f t="shared" si="19"/>
        <v>178</v>
      </c>
      <c r="AQ22" s="19">
        <f t="shared" si="10"/>
        <v>160</v>
      </c>
      <c r="AR22" s="19">
        <f t="shared" si="11"/>
        <v>279</v>
      </c>
      <c r="AS22" s="47">
        <f t="shared" si="12"/>
        <v>-109.148</v>
      </c>
      <c r="AU22">
        <f t="shared" si="13"/>
        <v>-210</v>
      </c>
    </row>
    <row r="23" spans="1:48" ht="15.5">
      <c r="A23" s="30">
        <f t="shared" si="0"/>
        <v>45799</v>
      </c>
      <c r="B23" s="31">
        <v>45799</v>
      </c>
      <c r="C23" s="32" t="s">
        <v>184</v>
      </c>
      <c r="D23" s="33">
        <v>2.0833333333333332E-2</v>
      </c>
      <c r="E23" s="35">
        <v>4.1666666666666664E-2</v>
      </c>
      <c r="F23" s="34">
        <v>30</v>
      </c>
      <c r="G23" s="33">
        <v>0.16666666666666666</v>
      </c>
      <c r="H23" s="36">
        <v>179.99999999999997</v>
      </c>
      <c r="I23" s="37">
        <f t="shared" si="14"/>
        <v>0.12916666666666668</v>
      </c>
      <c r="J23" s="4">
        <v>6</v>
      </c>
      <c r="K23" s="7"/>
      <c r="L23" s="119">
        <v>2.6388888888888889E-2</v>
      </c>
      <c r="M23" s="119">
        <v>3.3333333333333333E-2</v>
      </c>
      <c r="N23" s="120">
        <v>0.125</v>
      </c>
      <c r="O23" s="120">
        <v>0.12777777777777777</v>
      </c>
      <c r="P23" s="121">
        <v>1.0335399999999999</v>
      </c>
      <c r="Q23" t="s">
        <v>44</v>
      </c>
      <c r="R23" t="s">
        <v>45</v>
      </c>
      <c r="S23" t="s">
        <v>45</v>
      </c>
      <c r="T23" t="s">
        <v>45</v>
      </c>
      <c r="U23" s="7"/>
      <c r="V23" s="13">
        <f t="shared" si="15"/>
        <v>10</v>
      </c>
      <c r="W23" s="13">
        <f t="shared" si="15"/>
        <v>132</v>
      </c>
      <c r="X23" s="40">
        <f t="shared" si="16"/>
        <v>8.0000000000000018</v>
      </c>
      <c r="Y23" s="4">
        <f t="shared" si="16"/>
        <v>-11.999999999999996</v>
      </c>
      <c r="Z23" s="4">
        <f t="shared" si="1"/>
        <v>-59.999999999999986</v>
      </c>
      <c r="AA23" s="4">
        <f t="shared" si="2"/>
        <v>-39.999999999999972</v>
      </c>
      <c r="AB23" s="4">
        <f t="shared" si="3"/>
        <v>-56</v>
      </c>
      <c r="AC23" s="13">
        <f t="shared" si="4"/>
        <v>4</v>
      </c>
      <c r="AD23" s="15">
        <f t="shared" si="5"/>
        <v>67.999999999999986</v>
      </c>
      <c r="AG23" s="18">
        <v>0</v>
      </c>
      <c r="AH23" s="19">
        <f t="shared" si="6"/>
        <v>30</v>
      </c>
      <c r="AI23" s="19">
        <v>180</v>
      </c>
      <c r="AJ23" s="19">
        <v>210</v>
      </c>
      <c r="AK23" s="20">
        <f t="shared" si="7"/>
        <v>-1.9999999999999982</v>
      </c>
      <c r="AL23" s="19">
        <f t="shared" si="21"/>
        <v>-1.9999999999999982</v>
      </c>
      <c r="AM23" s="19">
        <f t="shared" si="18"/>
        <v>18.000000000000004</v>
      </c>
      <c r="AN23" s="19">
        <f t="shared" si="8"/>
        <v>18.000000000000004</v>
      </c>
      <c r="AO23" s="19">
        <f t="shared" si="9"/>
        <v>150</v>
      </c>
      <c r="AP23" s="19">
        <f t="shared" si="19"/>
        <v>175</v>
      </c>
      <c r="AQ23" s="19">
        <f t="shared" si="10"/>
        <v>154</v>
      </c>
      <c r="AR23" s="19">
        <f t="shared" si="11"/>
        <v>248</v>
      </c>
      <c r="AS23" s="47">
        <f t="shared" si="12"/>
        <v>-108.32300000000001</v>
      </c>
      <c r="AU23">
        <f t="shared" si="13"/>
        <v>-50</v>
      </c>
    </row>
    <row r="24" spans="1:48" ht="15.5">
      <c r="A24" s="30">
        <f t="shared" si="0"/>
        <v>45800</v>
      </c>
      <c r="B24" s="31">
        <v>45800</v>
      </c>
      <c r="C24" s="32" t="s">
        <v>184</v>
      </c>
      <c r="D24" s="33">
        <v>2.0833333333333332E-2</v>
      </c>
      <c r="E24" s="35">
        <v>4.1666666666666664E-2</v>
      </c>
      <c r="F24" s="34">
        <v>30</v>
      </c>
      <c r="G24" s="33">
        <v>0.16666666666666666</v>
      </c>
      <c r="H24" s="36">
        <v>179.99999999999997</v>
      </c>
      <c r="I24" s="37">
        <f t="shared" si="14"/>
        <v>0.16597222222222224</v>
      </c>
      <c r="J24" s="4">
        <v>6</v>
      </c>
      <c r="K24" s="7"/>
      <c r="L24" s="119">
        <v>4.5138888888888888E-2</v>
      </c>
      <c r="M24" s="119">
        <v>6.0416666666666667E-2</v>
      </c>
      <c r="N24" s="120">
        <v>0.16180555555555556</v>
      </c>
      <c r="O24" s="120">
        <v>0.16458333333333333</v>
      </c>
      <c r="P24" s="121">
        <v>0.97226999999999997</v>
      </c>
      <c r="Q24" t="s">
        <v>45</v>
      </c>
      <c r="R24" t="s">
        <v>45</v>
      </c>
      <c r="S24" t="s">
        <v>45</v>
      </c>
      <c r="T24" t="s">
        <v>45</v>
      </c>
      <c r="U24" s="7"/>
      <c r="V24" s="13">
        <f t="shared" si="15"/>
        <v>22</v>
      </c>
      <c r="W24" s="13">
        <f t="shared" si="15"/>
        <v>146</v>
      </c>
      <c r="X24" s="40">
        <f t="shared" si="16"/>
        <v>35</v>
      </c>
      <c r="Y24" s="4">
        <f t="shared" si="16"/>
        <v>27.000000000000004</v>
      </c>
      <c r="Z24" s="4">
        <f t="shared" si="1"/>
        <v>-6.9999999999999751</v>
      </c>
      <c r="AA24" s="4">
        <f t="shared" si="2"/>
        <v>1.0000000000000284</v>
      </c>
      <c r="AB24" s="4">
        <f t="shared" si="3"/>
        <v>-2.9999999999999893</v>
      </c>
      <c r="AC24" s="13">
        <f t="shared" si="4"/>
        <v>4</v>
      </c>
      <c r="AD24" s="15">
        <f t="shared" si="5"/>
        <v>41.999999999999972</v>
      </c>
      <c r="AG24" s="18">
        <v>0</v>
      </c>
      <c r="AH24" s="19">
        <f t="shared" si="6"/>
        <v>30</v>
      </c>
      <c r="AI24" s="19">
        <v>180</v>
      </c>
      <c r="AJ24" s="19">
        <v>210</v>
      </c>
      <c r="AK24" s="20">
        <f t="shared" si="7"/>
        <v>25</v>
      </c>
      <c r="AL24" s="19">
        <f t="shared" si="21"/>
        <v>25</v>
      </c>
      <c r="AM24" s="19">
        <f t="shared" si="18"/>
        <v>57</v>
      </c>
      <c r="AN24" s="19">
        <f t="shared" si="8"/>
        <v>57</v>
      </c>
      <c r="AO24" s="19">
        <f t="shared" si="9"/>
        <v>203</v>
      </c>
      <c r="AP24" s="19">
        <f t="shared" si="19"/>
        <v>201.5</v>
      </c>
      <c r="AQ24" s="19">
        <f t="shared" si="10"/>
        <v>207</v>
      </c>
      <c r="AR24" s="19">
        <f t="shared" si="11"/>
        <v>221.99999999999997</v>
      </c>
      <c r="AS24" s="47">
        <f t="shared" si="12"/>
        <v>-111.3865</v>
      </c>
      <c r="AU24">
        <f t="shared" si="13"/>
        <v>-210</v>
      </c>
    </row>
    <row r="25" spans="1:48" ht="15.5">
      <c r="A25" s="30">
        <f t="shared" si="0"/>
        <v>45801</v>
      </c>
      <c r="B25" s="31">
        <v>45801</v>
      </c>
      <c r="C25" s="32" t="s">
        <v>184</v>
      </c>
      <c r="D25" s="33">
        <v>2.0833333333333332E-2</v>
      </c>
      <c r="E25" s="35">
        <v>4.1666666666666664E-2</v>
      </c>
      <c r="F25" s="34">
        <v>30</v>
      </c>
      <c r="G25" s="33">
        <v>0.16666666666666666</v>
      </c>
      <c r="H25" s="36">
        <v>179.99999999999997</v>
      </c>
      <c r="I25" s="37">
        <f t="shared" si="14"/>
        <v>0.12708333333333333</v>
      </c>
      <c r="J25" s="4">
        <v>6</v>
      </c>
      <c r="K25" s="7"/>
      <c r="L25" s="119">
        <v>4.4444444444444446E-2</v>
      </c>
      <c r="M25" s="119">
        <v>5.6250000000000001E-2</v>
      </c>
      <c r="N25" s="120">
        <v>0.12291666666666666</v>
      </c>
      <c r="O25" s="120">
        <v>0.12569444444444444</v>
      </c>
      <c r="P25" s="121">
        <v>0.97345999999999999</v>
      </c>
      <c r="Q25" t="s">
        <v>44</v>
      </c>
      <c r="R25" t="s">
        <v>45</v>
      </c>
      <c r="S25" t="s">
        <v>45</v>
      </c>
      <c r="T25" t="s">
        <v>45</v>
      </c>
      <c r="U25" s="7"/>
      <c r="V25" s="13">
        <f t="shared" si="15"/>
        <v>17</v>
      </c>
      <c r="W25" s="13">
        <f t="shared" si="15"/>
        <v>95.999999999999972</v>
      </c>
      <c r="X25" s="40">
        <f t="shared" si="16"/>
        <v>34.000000000000007</v>
      </c>
      <c r="Y25" s="4">
        <f t="shared" si="16"/>
        <v>21.000000000000007</v>
      </c>
      <c r="Z25" s="4">
        <f t="shared" si="1"/>
        <v>-62.999999999999993</v>
      </c>
      <c r="AA25" s="4">
        <f t="shared" si="2"/>
        <v>-50</v>
      </c>
      <c r="AB25" s="4">
        <f t="shared" si="3"/>
        <v>-58.999999999999993</v>
      </c>
      <c r="AC25" s="13">
        <f t="shared" si="4"/>
        <v>4</v>
      </c>
      <c r="AD25" s="15">
        <f t="shared" si="5"/>
        <v>97</v>
      </c>
      <c r="AG25" s="18">
        <v>0</v>
      </c>
      <c r="AH25" s="19">
        <f t="shared" si="6"/>
        <v>30</v>
      </c>
      <c r="AI25" s="19">
        <v>180</v>
      </c>
      <c r="AJ25" s="19">
        <v>210</v>
      </c>
      <c r="AK25" s="20">
        <f t="shared" si="7"/>
        <v>24.000000000000007</v>
      </c>
      <c r="AL25" s="19">
        <f t="shared" si="21"/>
        <v>24.000000000000007</v>
      </c>
      <c r="AM25" s="19">
        <f t="shared" si="18"/>
        <v>51.000000000000007</v>
      </c>
      <c r="AN25" s="19">
        <f t="shared" si="8"/>
        <v>51.000000000000007</v>
      </c>
      <c r="AO25" s="19">
        <f t="shared" si="9"/>
        <v>146.99999999999997</v>
      </c>
      <c r="AP25" s="19">
        <f t="shared" si="19"/>
        <v>173.5</v>
      </c>
      <c r="AQ25" s="19">
        <f t="shared" si="10"/>
        <v>150.99999999999997</v>
      </c>
      <c r="AR25" s="19">
        <f t="shared" si="11"/>
        <v>277</v>
      </c>
      <c r="AS25" s="47">
        <f t="shared" si="12"/>
        <v>-111.327</v>
      </c>
      <c r="AU25">
        <f t="shared" si="13"/>
        <v>-50</v>
      </c>
    </row>
    <row r="26" spans="1:48" ht="15.5">
      <c r="A26" s="30">
        <f t="shared" si="0"/>
        <v>45802</v>
      </c>
      <c r="B26" s="31">
        <v>45802</v>
      </c>
      <c r="C26" s="32" t="s">
        <v>184</v>
      </c>
      <c r="D26" s="33">
        <v>2.0833333333333332E-2</v>
      </c>
      <c r="E26" s="35">
        <v>4.1666666666666664E-2</v>
      </c>
      <c r="F26" s="34">
        <v>30</v>
      </c>
      <c r="G26" s="33">
        <v>0.16666666666666666</v>
      </c>
      <c r="H26" s="36">
        <v>179.99999999999997</v>
      </c>
      <c r="I26" s="37">
        <f t="shared" si="14"/>
        <v>0.13541666666666669</v>
      </c>
      <c r="J26" s="4">
        <v>6</v>
      </c>
      <c r="K26" s="7"/>
      <c r="L26" s="119">
        <v>4.791666666666667E-2</v>
      </c>
      <c r="M26" s="119">
        <v>5.486111111111111E-2</v>
      </c>
      <c r="N26" s="120">
        <v>0.13125000000000001</v>
      </c>
      <c r="O26" s="120">
        <v>0.13402777777777777</v>
      </c>
      <c r="P26" s="121">
        <v>0.98065000000000002</v>
      </c>
      <c r="Q26" t="s">
        <v>45</v>
      </c>
      <c r="R26" t="s">
        <v>45</v>
      </c>
      <c r="S26" t="s">
        <v>45</v>
      </c>
      <c r="T26" t="s">
        <v>45</v>
      </c>
      <c r="U26" s="7"/>
      <c r="V26" s="13">
        <f t="shared" si="15"/>
        <v>9.9999999999999947</v>
      </c>
      <c r="W26" s="13">
        <f t="shared" si="15"/>
        <v>110.00000000000001</v>
      </c>
      <c r="X26" s="40">
        <f t="shared" si="16"/>
        <v>39.000000000000007</v>
      </c>
      <c r="Y26" s="4">
        <f t="shared" si="16"/>
        <v>19.000000000000004</v>
      </c>
      <c r="Z26" s="4">
        <f t="shared" si="1"/>
        <v>-50.999999999999979</v>
      </c>
      <c r="AA26" s="4">
        <f t="shared" si="2"/>
        <v>-30.999999999999957</v>
      </c>
      <c r="AB26" s="4">
        <f t="shared" si="3"/>
        <v>-46.999999999999993</v>
      </c>
      <c r="AC26" s="13">
        <f t="shared" si="4"/>
        <v>4</v>
      </c>
      <c r="AD26" s="15">
        <f t="shared" si="5"/>
        <v>89.999999999999986</v>
      </c>
      <c r="AG26" s="18">
        <v>0</v>
      </c>
      <c r="AH26" s="19">
        <f t="shared" si="6"/>
        <v>30</v>
      </c>
      <c r="AI26" s="19">
        <v>180</v>
      </c>
      <c r="AJ26" s="19">
        <v>210</v>
      </c>
      <c r="AK26" s="20">
        <f t="shared" si="7"/>
        <v>29.000000000000007</v>
      </c>
      <c r="AL26" s="19">
        <f t="shared" si="21"/>
        <v>29.000000000000007</v>
      </c>
      <c r="AM26" s="19">
        <f t="shared" si="18"/>
        <v>49</v>
      </c>
      <c r="AN26" s="19">
        <f t="shared" si="8"/>
        <v>49</v>
      </c>
      <c r="AO26" s="19">
        <f t="shared" si="9"/>
        <v>159</v>
      </c>
      <c r="AP26" s="19">
        <f t="shared" si="19"/>
        <v>179.5</v>
      </c>
      <c r="AQ26" s="19">
        <f t="shared" si="10"/>
        <v>163</v>
      </c>
      <c r="AR26" s="19">
        <f t="shared" si="11"/>
        <v>270</v>
      </c>
      <c r="AS26" s="47">
        <f t="shared" si="12"/>
        <v>-110.9675</v>
      </c>
      <c r="AU26">
        <f t="shared" si="13"/>
        <v>-210</v>
      </c>
      <c r="AV26">
        <f t="shared" si="20"/>
        <v>-125</v>
      </c>
    </row>
    <row r="27" spans="1:48" ht="15.5">
      <c r="A27" s="30">
        <f t="shared" si="0"/>
        <v>45803</v>
      </c>
      <c r="B27" s="31">
        <v>45803</v>
      </c>
      <c r="C27" s="32" t="s">
        <v>184</v>
      </c>
      <c r="D27" s="33">
        <v>2.0833333333333332E-2</v>
      </c>
      <c r="E27" s="35">
        <v>4.1666666666666664E-2</v>
      </c>
      <c r="F27" s="34">
        <v>30</v>
      </c>
      <c r="G27" s="33">
        <v>0.16666666666666666</v>
      </c>
      <c r="H27" s="36">
        <v>179.99999999999997</v>
      </c>
      <c r="I27" s="37">
        <f t="shared" si="14"/>
        <v>0.13125000000000001</v>
      </c>
      <c r="J27" s="4">
        <v>6</v>
      </c>
      <c r="K27" s="7"/>
      <c r="L27" s="119">
        <v>0.05</v>
      </c>
      <c r="M27" s="119">
        <v>6.3888888888888884E-2</v>
      </c>
      <c r="N27" s="120">
        <v>0.12708333333333333</v>
      </c>
      <c r="O27" s="120">
        <v>0.12986111111111112</v>
      </c>
      <c r="P27" s="121">
        <v>0.97243000000000002</v>
      </c>
      <c r="Q27" t="s">
        <v>45</v>
      </c>
      <c r="R27" t="s">
        <v>45</v>
      </c>
      <c r="S27" t="s">
        <v>45</v>
      </c>
      <c r="T27" t="s">
        <v>45</v>
      </c>
      <c r="U27" s="7"/>
      <c r="V27" s="13">
        <f t="shared" si="15"/>
        <v>19.999999999999989</v>
      </c>
      <c r="W27" s="13">
        <f t="shared" si="15"/>
        <v>91</v>
      </c>
      <c r="X27" s="40">
        <f t="shared" si="16"/>
        <v>42.000000000000007</v>
      </c>
      <c r="Y27" s="4">
        <f t="shared" si="16"/>
        <v>31.999999999999996</v>
      </c>
      <c r="Z27" s="4">
        <f t="shared" si="1"/>
        <v>-57</v>
      </c>
      <c r="AA27" s="4">
        <f t="shared" si="2"/>
        <v>-46.999999999999972</v>
      </c>
      <c r="AB27" s="4">
        <f t="shared" si="3"/>
        <v>-52.999999999999972</v>
      </c>
      <c r="AC27" s="13">
        <f t="shared" si="4"/>
        <v>4</v>
      </c>
      <c r="AD27" s="15">
        <f t="shared" si="5"/>
        <v>99</v>
      </c>
      <c r="AG27" s="18">
        <v>0</v>
      </c>
      <c r="AH27" s="19">
        <f t="shared" si="6"/>
        <v>30</v>
      </c>
      <c r="AI27" s="19">
        <v>180</v>
      </c>
      <c r="AJ27" s="19">
        <v>210</v>
      </c>
      <c r="AK27" s="20">
        <f t="shared" si="7"/>
        <v>32.000000000000007</v>
      </c>
      <c r="AL27" s="19">
        <f t="shared" si="21"/>
        <v>32.000000000000007</v>
      </c>
      <c r="AM27" s="19">
        <f t="shared" si="18"/>
        <v>62</v>
      </c>
      <c r="AN27" s="19">
        <f t="shared" si="8"/>
        <v>62</v>
      </c>
      <c r="AO27" s="19">
        <f t="shared" si="9"/>
        <v>153</v>
      </c>
      <c r="AP27" s="19">
        <f t="shared" si="19"/>
        <v>176.5</v>
      </c>
      <c r="AQ27" s="19">
        <f t="shared" si="10"/>
        <v>157</v>
      </c>
      <c r="AR27" s="19">
        <f t="shared" si="11"/>
        <v>279</v>
      </c>
      <c r="AS27" s="47">
        <f t="shared" si="12"/>
        <v>-111.3785</v>
      </c>
      <c r="AU27">
        <f t="shared" si="13"/>
        <v>-210</v>
      </c>
    </row>
    <row r="28" spans="1:48" ht="15.5">
      <c r="A28" s="30">
        <f t="shared" si="0"/>
        <v>45804</v>
      </c>
      <c r="B28" s="31">
        <v>45804</v>
      </c>
      <c r="C28" s="32" t="s">
        <v>184</v>
      </c>
      <c r="D28" s="33">
        <v>2.0833333333333332E-2</v>
      </c>
      <c r="E28" s="35">
        <v>4.1666666666666664E-2</v>
      </c>
      <c r="F28" s="34">
        <v>30</v>
      </c>
      <c r="G28" s="33">
        <v>0.16666666666666666</v>
      </c>
      <c r="H28" s="36">
        <v>179.99999999999997</v>
      </c>
      <c r="I28" s="37">
        <f t="shared" si="14"/>
        <v>0.13194444444444445</v>
      </c>
      <c r="J28" s="4">
        <v>6</v>
      </c>
      <c r="K28" s="7"/>
      <c r="L28" s="119">
        <v>4.027777777777778E-2</v>
      </c>
      <c r="M28" s="119">
        <v>0.05</v>
      </c>
      <c r="N28" s="120">
        <v>0.12777777777777777</v>
      </c>
      <c r="O28" s="120">
        <v>0.13055555555555556</v>
      </c>
      <c r="P28" s="121">
        <v>0.98316000000000003</v>
      </c>
      <c r="Q28" t="s">
        <v>44</v>
      </c>
      <c r="R28" t="s">
        <v>45</v>
      </c>
      <c r="S28" t="s">
        <v>45</v>
      </c>
      <c r="T28" t="s">
        <v>45</v>
      </c>
      <c r="U28" s="7"/>
      <c r="V28" s="13">
        <f t="shared" si="15"/>
        <v>14</v>
      </c>
      <c r="W28" s="13">
        <f t="shared" si="15"/>
        <v>111.99999999999999</v>
      </c>
      <c r="X28" s="40">
        <f t="shared" si="16"/>
        <v>28.000000000000007</v>
      </c>
      <c r="Y28" s="4">
        <f t="shared" si="16"/>
        <v>12.000000000000007</v>
      </c>
      <c r="Z28" s="4">
        <f t="shared" si="1"/>
        <v>-56</v>
      </c>
      <c r="AA28" s="4">
        <f t="shared" si="2"/>
        <v>-39.999999999999986</v>
      </c>
      <c r="AB28" s="4">
        <f t="shared" si="3"/>
        <v>-51.999999999999972</v>
      </c>
      <c r="AC28" s="13">
        <f t="shared" si="4"/>
        <v>4</v>
      </c>
      <c r="AD28" s="15">
        <f t="shared" si="5"/>
        <v>84</v>
      </c>
      <c r="AG28" s="18">
        <v>0</v>
      </c>
      <c r="AH28" s="19">
        <f t="shared" si="6"/>
        <v>30</v>
      </c>
      <c r="AI28" s="19">
        <v>180</v>
      </c>
      <c r="AJ28" s="19">
        <v>210</v>
      </c>
      <c r="AK28" s="20">
        <f t="shared" si="7"/>
        <v>18.000000000000007</v>
      </c>
      <c r="AL28" s="19">
        <f t="shared" si="21"/>
        <v>18.000000000000007</v>
      </c>
      <c r="AM28" s="19">
        <f t="shared" si="18"/>
        <v>42.000000000000007</v>
      </c>
      <c r="AN28" s="19">
        <f t="shared" si="8"/>
        <v>42.000000000000007</v>
      </c>
      <c r="AO28" s="19">
        <f t="shared" si="9"/>
        <v>154</v>
      </c>
      <c r="AP28" s="19">
        <f t="shared" si="19"/>
        <v>177</v>
      </c>
      <c r="AQ28" s="19">
        <f t="shared" si="10"/>
        <v>158</v>
      </c>
      <c r="AR28" s="19">
        <f t="shared" si="11"/>
        <v>264</v>
      </c>
      <c r="AS28" s="47">
        <f t="shared" si="12"/>
        <v>-110.842</v>
      </c>
      <c r="AU28">
        <f t="shared" si="13"/>
        <v>-50</v>
      </c>
      <c r="AV28">
        <f t="shared" si="20"/>
        <v>-125</v>
      </c>
    </row>
    <row r="29" spans="1:48" ht="15.5">
      <c r="A29" s="30">
        <f t="shared" si="0"/>
        <v>45805</v>
      </c>
      <c r="B29" s="31">
        <v>45805</v>
      </c>
      <c r="C29" s="32" t="s">
        <v>184</v>
      </c>
      <c r="D29" s="33">
        <v>2.0833333333333332E-2</v>
      </c>
      <c r="E29" s="35">
        <v>4.1666666666666664E-2</v>
      </c>
      <c r="F29" s="34">
        <v>30</v>
      </c>
      <c r="G29" s="33">
        <v>0.16666666666666666</v>
      </c>
      <c r="H29" s="36">
        <v>179.99999999999997</v>
      </c>
      <c r="I29" s="37">
        <f t="shared" si="14"/>
        <v>0.12916666666666668</v>
      </c>
      <c r="J29" s="4">
        <v>6</v>
      </c>
      <c r="K29" s="7"/>
      <c r="L29" s="119">
        <v>3.8194444444444448E-2</v>
      </c>
      <c r="M29" s="119">
        <v>4.9305555555555554E-2</v>
      </c>
      <c r="N29" s="120">
        <v>0.125</v>
      </c>
      <c r="O29" s="120">
        <v>0.12777777777777777</v>
      </c>
      <c r="P29" s="121">
        <v>1.01525</v>
      </c>
      <c r="Q29" t="s">
        <v>45</v>
      </c>
      <c r="R29" t="s">
        <v>45</v>
      </c>
      <c r="S29" t="s">
        <v>45</v>
      </c>
      <c r="T29" t="s">
        <v>45</v>
      </c>
      <c r="U29" s="7"/>
      <c r="V29" s="13">
        <f t="shared" si="15"/>
        <v>15.999999999999993</v>
      </c>
      <c r="W29" s="13">
        <f t="shared" si="15"/>
        <v>109.00000000000001</v>
      </c>
      <c r="X29" s="40">
        <f t="shared" si="16"/>
        <v>25.000000000000007</v>
      </c>
      <c r="Y29" s="4">
        <f t="shared" si="16"/>
        <v>11</v>
      </c>
      <c r="Z29" s="4">
        <f t="shared" si="1"/>
        <v>-59.999999999999986</v>
      </c>
      <c r="AA29" s="4">
        <f t="shared" si="2"/>
        <v>-45.999999999999957</v>
      </c>
      <c r="AB29" s="4">
        <f t="shared" si="3"/>
        <v>-56</v>
      </c>
      <c r="AC29" s="13">
        <f t="shared" si="4"/>
        <v>4</v>
      </c>
      <c r="AD29" s="15">
        <f t="shared" si="5"/>
        <v>85</v>
      </c>
      <c r="AG29" s="18">
        <v>0</v>
      </c>
      <c r="AH29" s="19">
        <f t="shared" si="6"/>
        <v>30</v>
      </c>
      <c r="AI29" s="19">
        <v>180</v>
      </c>
      <c r="AJ29" s="19">
        <v>210</v>
      </c>
      <c r="AK29" s="20">
        <f t="shared" si="7"/>
        <v>15.000000000000007</v>
      </c>
      <c r="AL29" s="19">
        <f t="shared" si="21"/>
        <v>15.000000000000007</v>
      </c>
      <c r="AM29" s="19">
        <f t="shared" si="18"/>
        <v>41</v>
      </c>
      <c r="AN29" s="19">
        <f t="shared" si="8"/>
        <v>41</v>
      </c>
      <c r="AO29" s="19">
        <f t="shared" si="9"/>
        <v>150</v>
      </c>
      <c r="AP29" s="19">
        <f t="shared" si="19"/>
        <v>175</v>
      </c>
      <c r="AQ29" s="19">
        <f t="shared" si="10"/>
        <v>154</v>
      </c>
      <c r="AR29" s="19">
        <f t="shared" si="11"/>
        <v>265</v>
      </c>
      <c r="AS29" s="47">
        <f t="shared" si="12"/>
        <v>-109.2375</v>
      </c>
      <c r="AU29">
        <f t="shared" si="13"/>
        <v>-210</v>
      </c>
      <c r="AV29">
        <f t="shared" si="20"/>
        <v>-125</v>
      </c>
    </row>
    <row r="30" spans="1:48" ht="15.5">
      <c r="A30" s="30">
        <f t="shared" si="0"/>
        <v>45806</v>
      </c>
      <c r="B30" s="31">
        <v>45806</v>
      </c>
      <c r="C30" s="32" t="s">
        <v>184</v>
      </c>
      <c r="D30" s="33">
        <v>2.0833333333333332E-2</v>
      </c>
      <c r="E30" s="35">
        <v>4.1666666666666664E-2</v>
      </c>
      <c r="F30" s="34">
        <v>30</v>
      </c>
      <c r="G30" s="33">
        <v>0.16666666666666666</v>
      </c>
      <c r="H30" s="36">
        <v>179.99999999999997</v>
      </c>
      <c r="I30" s="37">
        <f t="shared" si="14"/>
        <v>0.12291666666666666</v>
      </c>
      <c r="J30" s="4">
        <v>6</v>
      </c>
      <c r="K30" s="7"/>
      <c r="L30" s="119">
        <v>4.791666666666667E-2</v>
      </c>
      <c r="M30" s="119">
        <v>5.4166666666666669E-2</v>
      </c>
      <c r="N30" s="119">
        <v>0.11874999999999999</v>
      </c>
      <c r="O30" s="119">
        <v>0.12152777777777778</v>
      </c>
      <c r="P30" s="121">
        <v>1.0510200000000001</v>
      </c>
      <c r="Q30" t="s">
        <v>44</v>
      </c>
      <c r="R30" t="s">
        <v>45</v>
      </c>
      <c r="S30" t="s">
        <v>45</v>
      </c>
      <c r="T30" t="s">
        <v>45</v>
      </c>
      <c r="U30" s="7"/>
      <c r="V30" s="13">
        <f t="shared" si="15"/>
        <v>8.9999999999999982</v>
      </c>
      <c r="W30" s="13">
        <f t="shared" si="15"/>
        <v>92.999999999999986</v>
      </c>
      <c r="X30" s="40">
        <f t="shared" si="16"/>
        <v>39.000000000000007</v>
      </c>
      <c r="Y30" s="4">
        <f t="shared" si="16"/>
        <v>18.000000000000007</v>
      </c>
      <c r="Z30" s="4">
        <f t="shared" si="1"/>
        <v>-69</v>
      </c>
      <c r="AA30" s="4">
        <f t="shared" si="2"/>
        <v>-47.999999999999986</v>
      </c>
      <c r="AB30" s="4">
        <f t="shared" si="3"/>
        <v>-64.999999999999986</v>
      </c>
      <c r="AC30" s="13">
        <f t="shared" si="4"/>
        <v>4</v>
      </c>
      <c r="AD30" s="15">
        <f t="shared" si="5"/>
        <v>108</v>
      </c>
      <c r="AG30" s="18">
        <v>0</v>
      </c>
      <c r="AH30" s="19">
        <f t="shared" si="6"/>
        <v>30</v>
      </c>
      <c r="AI30" s="19">
        <v>180</v>
      </c>
      <c r="AJ30" s="19">
        <v>210</v>
      </c>
      <c r="AK30" s="20">
        <f t="shared" si="7"/>
        <v>29.000000000000007</v>
      </c>
      <c r="AL30" s="19">
        <f t="shared" si="21"/>
        <v>29.000000000000007</v>
      </c>
      <c r="AM30" s="19">
        <f t="shared" si="18"/>
        <v>48.000000000000007</v>
      </c>
      <c r="AN30" s="19">
        <f t="shared" si="8"/>
        <v>48.000000000000007</v>
      </c>
      <c r="AO30" s="19">
        <f t="shared" si="9"/>
        <v>141</v>
      </c>
      <c r="AP30" s="19">
        <f t="shared" si="19"/>
        <v>170.5</v>
      </c>
      <c r="AQ30" s="19">
        <f t="shared" si="10"/>
        <v>145</v>
      </c>
      <c r="AR30" s="19">
        <f t="shared" si="11"/>
        <v>288</v>
      </c>
      <c r="AS30" s="47">
        <f t="shared" si="12"/>
        <v>-107.449</v>
      </c>
      <c r="AU30">
        <f t="shared" si="13"/>
        <v>-50</v>
      </c>
    </row>
    <row r="31" spans="1:48" ht="15.5">
      <c r="A31" s="30">
        <f t="shared" si="0"/>
        <v>45807</v>
      </c>
      <c r="B31" s="31">
        <v>45807</v>
      </c>
      <c r="C31" s="32" t="s">
        <v>184</v>
      </c>
      <c r="D31" s="33">
        <v>2.0833333333333332E-2</v>
      </c>
      <c r="E31" s="35">
        <v>4.1666666666666664E-2</v>
      </c>
      <c r="F31" s="34">
        <v>30</v>
      </c>
      <c r="G31" s="33">
        <v>0.16666666666666666</v>
      </c>
      <c r="H31" s="36">
        <v>179.99999999999997</v>
      </c>
      <c r="I31" s="37">
        <f t="shared" si="14"/>
        <v>0.1340277777777778</v>
      </c>
      <c r="J31" s="4">
        <v>6</v>
      </c>
      <c r="K31" s="7"/>
      <c r="L31" s="119">
        <v>6.3194444444444442E-2</v>
      </c>
      <c r="M31" s="119">
        <v>7.013888888888889E-2</v>
      </c>
      <c r="N31" s="119">
        <v>0.12986111111111112</v>
      </c>
      <c r="O31" s="119">
        <v>0.13263888888888889</v>
      </c>
      <c r="P31" s="121">
        <v>0.97652000000000005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5"/>
        <v>10.000000000000004</v>
      </c>
      <c r="W31" s="13">
        <f t="shared" si="15"/>
        <v>86.000000000000014</v>
      </c>
      <c r="X31" s="40">
        <f t="shared" si="16"/>
        <v>61</v>
      </c>
      <c r="Y31" s="4">
        <f t="shared" si="16"/>
        <v>41.000000000000007</v>
      </c>
      <c r="Z31" s="4">
        <f t="shared" si="1"/>
        <v>-52.999999999999972</v>
      </c>
      <c r="AA31" s="4">
        <f t="shared" si="2"/>
        <v>-32.999999999999957</v>
      </c>
      <c r="AB31" s="4">
        <f t="shared" si="3"/>
        <v>-48.999999999999986</v>
      </c>
      <c r="AC31" s="13">
        <f t="shared" si="4"/>
        <v>4</v>
      </c>
      <c r="AD31" s="15">
        <f t="shared" si="5"/>
        <v>113.99999999999997</v>
      </c>
      <c r="AG31" s="18">
        <v>0</v>
      </c>
      <c r="AH31" s="19">
        <f t="shared" si="6"/>
        <v>30</v>
      </c>
      <c r="AI31" s="19">
        <v>180</v>
      </c>
      <c r="AJ31" s="19">
        <v>210</v>
      </c>
      <c r="AK31" s="20">
        <f t="shared" si="7"/>
        <v>51</v>
      </c>
      <c r="AL31" s="19">
        <f t="shared" si="21"/>
        <v>51</v>
      </c>
      <c r="AM31" s="19">
        <f t="shared" si="18"/>
        <v>71</v>
      </c>
      <c r="AN31" s="19">
        <f t="shared" si="8"/>
        <v>71</v>
      </c>
      <c r="AO31" s="19">
        <f t="shared" si="9"/>
        <v>157</v>
      </c>
      <c r="AP31" s="19">
        <f t="shared" si="19"/>
        <v>178.5</v>
      </c>
      <c r="AQ31" s="19">
        <f t="shared" si="10"/>
        <v>161</v>
      </c>
      <c r="AR31" s="19">
        <f t="shared" si="11"/>
        <v>294</v>
      </c>
      <c r="AS31" s="47">
        <f t="shared" si="12"/>
        <v>-111.17400000000001</v>
      </c>
      <c r="AU31">
        <f t="shared" si="13"/>
        <v>-210</v>
      </c>
    </row>
    <row r="32" spans="1:48">
      <c r="L32" s="119">
        <f t="shared" ref="L32:O32" si="22">AVERAGE(L2:L31)</f>
        <v>4.6458333333333345E-2</v>
      </c>
      <c r="M32" s="119">
        <f t="shared" si="22"/>
        <v>5.5879629629629633E-2</v>
      </c>
      <c r="N32" s="119">
        <f t="shared" si="22"/>
        <v>0.12905092592592593</v>
      </c>
      <c r="O32" s="119">
        <f t="shared" si="22"/>
        <v>0.13180555555555556</v>
      </c>
      <c r="P32" s="48">
        <f>AVERAGE(P2:P31)</f>
        <v>0.97963000000000022</v>
      </c>
      <c r="Q32" s="48" t="s">
        <v>45</v>
      </c>
      <c r="R32" s="48"/>
      <c r="S32" s="48"/>
      <c r="T32" s="48"/>
      <c r="V32" s="16">
        <f>AVERAGE(V2:V31)</f>
        <v>13.566666666666666</v>
      </c>
      <c r="W32" s="14">
        <f>AVERAGE(W2:W31)</f>
        <v>105.36666666666666</v>
      </c>
      <c r="X32" s="16">
        <f>AVERAGE(X2:X31)</f>
        <v>36.9</v>
      </c>
      <c r="AD32" s="14">
        <f>AVERAGE(AD2:AD31)</f>
        <v>91.066666666666663</v>
      </c>
    </row>
    <row r="33" spans="4:44">
      <c r="O33" s="2"/>
      <c r="AG33" s="150" t="s">
        <v>30</v>
      </c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</row>
    <row r="35" spans="4:44">
      <c r="D35" s="2"/>
    </row>
    <row r="36" spans="4:44">
      <c r="D36" s="2"/>
    </row>
    <row r="37" spans="4:44">
      <c r="D37" s="2"/>
    </row>
    <row r="38" spans="4:44">
      <c r="D38" s="2"/>
    </row>
    <row r="39" spans="4:44">
      <c r="D39" s="2"/>
    </row>
    <row r="40" spans="4:44">
      <c r="D40" s="2"/>
    </row>
    <row r="41" spans="4:44">
      <c r="D41" s="2"/>
    </row>
    <row r="42" spans="4:44">
      <c r="D42" s="2"/>
    </row>
    <row r="43" spans="4:44">
      <c r="D43" s="2"/>
    </row>
    <row r="44" spans="4:44">
      <c r="D44" s="2"/>
    </row>
    <row r="45" spans="4:44">
      <c r="D45" s="2"/>
    </row>
    <row r="46" spans="4:44">
      <c r="D46" s="2"/>
    </row>
    <row r="47" spans="4:44">
      <c r="D47" s="2"/>
    </row>
  </sheetData>
  <autoFilter ref="B1:Z1" xr:uid="{00000000-0001-0000-0000-000000000000}"/>
  <mergeCells count="1">
    <mergeCell ref="AG33:AR33"/>
  </mergeCells>
  <conditionalFormatting sqref="V2:V31">
    <cfRule type="cellIs" dxfId="20" priority="5" operator="greaterThan">
      <formula>$F$2</formula>
    </cfRule>
    <cfRule type="cellIs" dxfId="19" priority="6" operator="lessThanOrEqual">
      <formula>$F$2</formula>
    </cfRule>
  </conditionalFormatting>
  <conditionalFormatting sqref="W2:W31">
    <cfRule type="cellIs" dxfId="18" priority="3" operator="greaterThan">
      <formula>$H$2</formula>
    </cfRule>
    <cfRule type="cellIs" dxfId="17" priority="4" operator="lessThanOrEqual">
      <formula>$H$2</formula>
    </cfRule>
  </conditionalFormatting>
  <conditionalFormatting sqref="AC2:AC31">
    <cfRule type="cellIs" dxfId="16" priority="2" operator="greaterThan">
      <formula>5</formula>
    </cfRule>
  </conditionalFormatting>
  <conditionalFormatting sqref="AD2:AD31 P2:T32 V32">
    <cfRule type="cellIs" dxfId="15" priority="1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A1E2-CC53-4778-8B62-C60F1E2F744A}">
  <dimension ref="A1:AV47"/>
  <sheetViews>
    <sheetView showGridLines="0" topLeftCell="Q1" workbookViewId="0">
      <pane ySplit="1" topLeftCell="A18" activePane="bottomLeft" state="frozen"/>
      <selection pane="bottomLeft" activeCell="AD2" sqref="AD2:AD31"/>
    </sheetView>
  </sheetViews>
  <sheetFormatPr defaultColWidth="10.26953125" defaultRowHeight="14.5"/>
  <cols>
    <col min="1" max="2" width="10.7265625" style="1" customWidth="1"/>
    <col min="3" max="3" width="9.5429687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129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41</v>
      </c>
      <c r="AV1" s="44" t="s">
        <v>42</v>
      </c>
    </row>
    <row r="2" spans="1:48">
      <c r="A2" s="30">
        <f t="shared" ref="A2:A31" si="0">B2</f>
        <v>45809</v>
      </c>
      <c r="B2" s="31">
        <v>45809</v>
      </c>
      <c r="C2" s="32" t="s">
        <v>185</v>
      </c>
      <c r="D2" s="33">
        <v>0</v>
      </c>
      <c r="E2" s="35">
        <f>(D2+(TIME(0,F2,0)))</f>
        <v>2.0833333333333332E-2</v>
      </c>
      <c r="F2" s="34">
        <v>30</v>
      </c>
      <c r="G2" s="33">
        <v>0.16666666666666666</v>
      </c>
      <c r="H2" s="36">
        <f>((G2-D2)*1440)-F2</f>
        <v>210</v>
      </c>
      <c r="I2" s="37">
        <f>(N2+(TIME(0,J2,0)))</f>
        <v>0.15833333333333333</v>
      </c>
      <c r="J2" s="4">
        <v>5</v>
      </c>
      <c r="K2" s="7"/>
      <c r="L2" s="130">
        <v>2.9166666666666664E-2</v>
      </c>
      <c r="M2" s="130">
        <v>4.0972222222222222E-2</v>
      </c>
      <c r="N2" s="130">
        <v>0.15486111111111112</v>
      </c>
      <c r="O2" s="130">
        <v>0.15763888888888888</v>
      </c>
      <c r="P2" s="131">
        <v>3.40741</v>
      </c>
      <c r="Q2" t="s">
        <v>44</v>
      </c>
      <c r="R2" t="s">
        <v>45</v>
      </c>
      <c r="S2" t="s">
        <v>45</v>
      </c>
      <c r="T2" t="s">
        <v>45</v>
      </c>
      <c r="U2" s="7"/>
      <c r="V2" s="13">
        <f>((M2-L2)*1440)</f>
        <v>17.000000000000004</v>
      </c>
      <c r="W2" s="13">
        <f>((N2-M2)*1440)</f>
        <v>164.00000000000003</v>
      </c>
      <c r="X2" s="40">
        <f>((L2-D2)*1440)</f>
        <v>41.999999999999993</v>
      </c>
      <c r="Y2" s="4">
        <f>((M2-E2)*1440)</f>
        <v>29.000000000000004</v>
      </c>
      <c r="Z2" s="4">
        <f t="shared" ref="Z2:Z31" si="1">((N2-G2)*1440)</f>
        <v>-16.999999999999979</v>
      </c>
      <c r="AA2" s="4">
        <f t="shared" ref="AA2:AA31" si="2">W2-(H2-X2)</f>
        <v>-3.9999999999999716</v>
      </c>
      <c r="AB2" s="4">
        <f t="shared" ref="AB2:AB31" si="3">((O2-G2)*1440)</f>
        <v>-12.999999999999993</v>
      </c>
      <c r="AC2" s="13">
        <f t="shared" ref="AC2:AC31" si="4">ROUND((O2-N2)*1440,0)</f>
        <v>4</v>
      </c>
      <c r="AD2" s="15">
        <f t="shared" ref="AD2:AD31" si="5">(Z2*-1)+X2</f>
        <v>58.999999999999972</v>
      </c>
      <c r="AG2" s="18">
        <v>0</v>
      </c>
      <c r="AH2" s="19">
        <f t="shared" ref="AH2:AH31" si="6">AG2+F2</f>
        <v>30</v>
      </c>
      <c r="AI2" s="19">
        <f t="shared" ref="AI2:AI31" si="7">AG2+H2+AH2</f>
        <v>240</v>
      </c>
      <c r="AJ2" s="20">
        <f>AG2+X2-10</f>
        <v>31.999999999999993</v>
      </c>
      <c r="AK2" s="19">
        <f>AJ2</f>
        <v>31.999999999999993</v>
      </c>
      <c r="AL2" s="19">
        <f>AM2</f>
        <v>59</v>
      </c>
      <c r="AM2" s="19">
        <f>AH2+Y2</f>
        <v>59</v>
      </c>
      <c r="AN2" s="19">
        <f t="shared" ref="AN2:AN15" si="8">AM2+W2</f>
        <v>223.00000000000003</v>
      </c>
      <c r="AO2" s="19">
        <f>(AN2/2)+50</f>
        <v>161.5</v>
      </c>
      <c r="AP2" s="19">
        <f>AN2+AC2</f>
        <v>227.00000000000003</v>
      </c>
      <c r="AQ2" s="19">
        <f>AD2+350</f>
        <v>409</v>
      </c>
      <c r="AR2" s="47">
        <f>(P2*50)-250</f>
        <v>-79.629500000000007</v>
      </c>
      <c r="AS2">
        <v>-225</v>
      </c>
    </row>
    <row r="3" spans="1:48">
      <c r="A3" s="30">
        <f t="shared" si="0"/>
        <v>45810</v>
      </c>
      <c r="B3" s="31">
        <v>45810</v>
      </c>
      <c r="C3" s="32" t="s">
        <v>185</v>
      </c>
      <c r="D3" s="33">
        <v>0</v>
      </c>
      <c r="E3" s="35">
        <f t="shared" ref="E3:E31" si="9">(D3+(TIME(0,F3,0)))</f>
        <v>2.0833333333333332E-2</v>
      </c>
      <c r="F3" s="34">
        <v>30</v>
      </c>
      <c r="G3" s="33">
        <v>0.16666666666666666</v>
      </c>
      <c r="H3" s="36">
        <f t="shared" ref="H3:H31" si="10">((G3-D3)*1440)-F3</f>
        <v>210</v>
      </c>
      <c r="I3" s="37">
        <f t="shared" ref="I3:I31" si="11">(N3+(TIME(0,J3,0)))</f>
        <v>0.13888888888888887</v>
      </c>
      <c r="J3" s="4">
        <v>5</v>
      </c>
      <c r="K3" s="7"/>
      <c r="L3" s="130">
        <v>3.1944444444444449E-2</v>
      </c>
      <c r="M3" s="130">
        <v>4.0972222222222222E-2</v>
      </c>
      <c r="N3" s="132">
        <v>0.13541666666666666</v>
      </c>
      <c r="O3" s="130">
        <v>0.13819444444444445</v>
      </c>
      <c r="P3" s="131">
        <v>3.41683</v>
      </c>
      <c r="Q3" t="s">
        <v>45</v>
      </c>
      <c r="R3" t="s">
        <v>44</v>
      </c>
      <c r="S3" t="s">
        <v>45</v>
      </c>
      <c r="T3" t="s">
        <v>45</v>
      </c>
      <c r="U3" s="7"/>
      <c r="V3" s="13">
        <f t="shared" ref="V3:W31" si="12">((M3-L3)*1440)</f>
        <v>12.999999999999993</v>
      </c>
      <c r="W3" s="13">
        <f t="shared" si="12"/>
        <v>136</v>
      </c>
      <c r="X3" s="40">
        <f t="shared" ref="X3:Y31" si="13">((L3-D3)*1440)</f>
        <v>46.000000000000007</v>
      </c>
      <c r="Y3" s="4">
        <f t="shared" si="13"/>
        <v>29.000000000000004</v>
      </c>
      <c r="Z3" s="4">
        <f t="shared" si="1"/>
        <v>-45</v>
      </c>
      <c r="AA3" s="4">
        <f t="shared" si="2"/>
        <v>-28</v>
      </c>
      <c r="AB3" s="4">
        <f t="shared" si="3"/>
        <v>-40.999999999999972</v>
      </c>
      <c r="AC3" s="13">
        <f t="shared" si="4"/>
        <v>4</v>
      </c>
      <c r="AD3" s="15">
        <f t="shared" si="5"/>
        <v>91</v>
      </c>
      <c r="AG3" s="18">
        <v>0</v>
      </c>
      <c r="AH3" s="19">
        <f t="shared" si="6"/>
        <v>30</v>
      </c>
      <c r="AI3" s="19">
        <f t="shared" si="7"/>
        <v>240</v>
      </c>
      <c r="AJ3" s="20">
        <f t="shared" ref="AJ3:AJ31" si="14">AG3+X3-10</f>
        <v>36.000000000000007</v>
      </c>
      <c r="AK3" s="19">
        <f t="shared" ref="AK3:AK19" si="15">AJ3</f>
        <v>36.000000000000007</v>
      </c>
      <c r="AL3" s="19">
        <f t="shared" ref="AL3:AL31" si="16">AM3</f>
        <v>59</v>
      </c>
      <c r="AM3" s="19">
        <f t="shared" ref="AM3:AM31" si="17">AH3+Y3</f>
        <v>59</v>
      </c>
      <c r="AN3" s="19">
        <f t="shared" si="8"/>
        <v>195</v>
      </c>
      <c r="AO3" s="19">
        <f t="shared" ref="AO3:AO31" si="18">(AN3/2)+50</f>
        <v>147.5</v>
      </c>
      <c r="AP3" s="19">
        <f t="shared" ref="AP3:AP31" si="19">AN3+AC3</f>
        <v>199</v>
      </c>
      <c r="AQ3" s="19">
        <f t="shared" ref="AQ3:AQ31" si="20">AD3+350</f>
        <v>441</v>
      </c>
      <c r="AR3" s="47">
        <f t="shared" ref="AR3:AR31" si="21">(P3*50)-250</f>
        <v>-79.158500000000004</v>
      </c>
      <c r="AT3">
        <v>-210</v>
      </c>
    </row>
    <row r="4" spans="1:48">
      <c r="A4" s="30">
        <f t="shared" si="0"/>
        <v>45811</v>
      </c>
      <c r="B4" s="31">
        <v>45811</v>
      </c>
      <c r="C4" s="32" t="s">
        <v>185</v>
      </c>
      <c r="D4" s="33">
        <v>0</v>
      </c>
      <c r="E4" s="35">
        <f t="shared" si="9"/>
        <v>2.0833333333333332E-2</v>
      </c>
      <c r="F4" s="34">
        <v>30</v>
      </c>
      <c r="G4" s="33">
        <v>0.16666666666666666</v>
      </c>
      <c r="H4" s="36">
        <f t="shared" si="10"/>
        <v>210</v>
      </c>
      <c r="I4" s="37">
        <f t="shared" si="11"/>
        <v>0.1423611111111111</v>
      </c>
      <c r="J4" s="4">
        <v>5</v>
      </c>
      <c r="K4" s="7"/>
      <c r="L4" s="130">
        <v>2.6388888888888889E-2</v>
      </c>
      <c r="M4" s="130">
        <v>3.8194444444444441E-2</v>
      </c>
      <c r="N4" s="130">
        <v>0.1388888888888889</v>
      </c>
      <c r="O4" s="130">
        <v>0.14166666666666666</v>
      </c>
      <c r="P4" s="131">
        <v>3.3960599999999999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si="12"/>
        <v>16.999999999999993</v>
      </c>
      <c r="W4" s="13">
        <f t="shared" si="12"/>
        <v>145</v>
      </c>
      <c r="X4" s="40">
        <f t="shared" si="13"/>
        <v>38</v>
      </c>
      <c r="Y4" s="4">
        <f t="shared" si="13"/>
        <v>24.999999999999996</v>
      </c>
      <c r="Z4" s="4">
        <f t="shared" si="1"/>
        <v>-39.999999999999979</v>
      </c>
      <c r="AA4" s="4">
        <f t="shared" si="2"/>
        <v>-27</v>
      </c>
      <c r="AB4" s="4">
        <f t="shared" si="3"/>
        <v>-35.999999999999993</v>
      </c>
      <c r="AC4" s="13">
        <f t="shared" si="4"/>
        <v>4</v>
      </c>
      <c r="AD4" s="15">
        <f t="shared" si="5"/>
        <v>77.999999999999972</v>
      </c>
      <c r="AG4" s="18">
        <v>0</v>
      </c>
      <c r="AH4" s="19">
        <f t="shared" si="6"/>
        <v>30</v>
      </c>
      <c r="AI4" s="19">
        <f t="shared" si="7"/>
        <v>240</v>
      </c>
      <c r="AJ4" s="20">
        <f t="shared" si="14"/>
        <v>28</v>
      </c>
      <c r="AK4" s="19">
        <f t="shared" si="15"/>
        <v>28</v>
      </c>
      <c r="AL4" s="19">
        <f t="shared" si="16"/>
        <v>55</v>
      </c>
      <c r="AM4" s="19">
        <f t="shared" si="17"/>
        <v>55</v>
      </c>
      <c r="AN4" s="19">
        <f t="shared" si="8"/>
        <v>200</v>
      </c>
      <c r="AO4" s="19">
        <f t="shared" si="18"/>
        <v>150</v>
      </c>
      <c r="AP4" s="19">
        <f t="shared" si="19"/>
        <v>204</v>
      </c>
      <c r="AQ4" s="19">
        <f t="shared" si="20"/>
        <v>428</v>
      </c>
      <c r="AR4" s="47">
        <f t="shared" si="21"/>
        <v>-80.197000000000003</v>
      </c>
    </row>
    <row r="5" spans="1:48">
      <c r="A5" s="30">
        <f t="shared" si="0"/>
        <v>45812</v>
      </c>
      <c r="B5" s="31">
        <v>45812</v>
      </c>
      <c r="C5" s="32" t="s">
        <v>185</v>
      </c>
      <c r="D5" s="33">
        <v>0</v>
      </c>
      <c r="E5" s="35">
        <f t="shared" si="9"/>
        <v>2.0833333333333332E-2</v>
      </c>
      <c r="F5" s="34">
        <v>30</v>
      </c>
      <c r="G5" s="33">
        <v>0.16666666666666666</v>
      </c>
      <c r="H5" s="36">
        <f t="shared" si="10"/>
        <v>210</v>
      </c>
      <c r="I5" s="37">
        <f t="shared" si="11"/>
        <v>0.16874999999999998</v>
      </c>
      <c r="J5" s="4">
        <v>5</v>
      </c>
      <c r="K5" s="7"/>
      <c r="L5" s="130">
        <v>3.6805555555555557E-2</v>
      </c>
      <c r="M5" s="130">
        <v>4.9999999999999996E-2</v>
      </c>
      <c r="N5" s="130">
        <v>0.16527777777777777</v>
      </c>
      <c r="O5" s="130">
        <v>0.16805555555555557</v>
      </c>
      <c r="P5" s="131">
        <v>3.3754900000000001</v>
      </c>
      <c r="Q5" t="s">
        <v>44</v>
      </c>
      <c r="R5" t="s">
        <v>45</v>
      </c>
      <c r="S5" t="s">
        <v>45</v>
      </c>
      <c r="T5" t="s">
        <v>45</v>
      </c>
      <c r="U5" s="7"/>
      <c r="V5" s="13">
        <f t="shared" si="12"/>
        <v>18.999999999999993</v>
      </c>
      <c r="W5" s="13">
        <f t="shared" si="12"/>
        <v>166</v>
      </c>
      <c r="X5" s="40">
        <f t="shared" si="13"/>
        <v>53</v>
      </c>
      <c r="Y5" s="4">
        <f t="shared" si="13"/>
        <v>41.999999999999993</v>
      </c>
      <c r="Z5" s="4">
        <f t="shared" si="1"/>
        <v>-1.9999999999999929</v>
      </c>
      <c r="AA5" s="4">
        <f t="shared" si="2"/>
        <v>9</v>
      </c>
      <c r="AB5" s="4">
        <f t="shared" si="3"/>
        <v>2.0000000000000329</v>
      </c>
      <c r="AC5" s="13">
        <f t="shared" si="4"/>
        <v>4</v>
      </c>
      <c r="AD5" s="15">
        <f t="shared" si="5"/>
        <v>54.999999999999993</v>
      </c>
      <c r="AG5" s="18">
        <v>0</v>
      </c>
      <c r="AH5" s="19">
        <f t="shared" si="6"/>
        <v>30</v>
      </c>
      <c r="AI5" s="19">
        <f t="shared" si="7"/>
        <v>240</v>
      </c>
      <c r="AJ5" s="20">
        <f t="shared" si="14"/>
        <v>43</v>
      </c>
      <c r="AK5" s="19">
        <f t="shared" si="15"/>
        <v>43</v>
      </c>
      <c r="AL5" s="19">
        <f t="shared" si="16"/>
        <v>72</v>
      </c>
      <c r="AM5" s="19">
        <f t="shared" si="17"/>
        <v>72</v>
      </c>
      <c r="AN5" s="19">
        <f t="shared" si="8"/>
        <v>238</v>
      </c>
      <c r="AO5" s="19">
        <f t="shared" si="18"/>
        <v>169</v>
      </c>
      <c r="AP5" s="19">
        <f t="shared" si="19"/>
        <v>242</v>
      </c>
      <c r="AQ5" s="19">
        <f t="shared" si="20"/>
        <v>405</v>
      </c>
      <c r="AR5" s="47">
        <f t="shared" si="21"/>
        <v>-81.225499999999982</v>
      </c>
      <c r="AS5">
        <v>-225</v>
      </c>
    </row>
    <row r="6" spans="1:48">
      <c r="A6" s="30">
        <f t="shared" si="0"/>
        <v>45813</v>
      </c>
      <c r="B6" s="31">
        <v>45813</v>
      </c>
      <c r="C6" s="32" t="s">
        <v>185</v>
      </c>
      <c r="D6" s="33">
        <v>0</v>
      </c>
      <c r="E6" s="35">
        <f t="shared" si="9"/>
        <v>2.0833333333333332E-2</v>
      </c>
      <c r="F6" s="34">
        <v>30</v>
      </c>
      <c r="G6" s="33">
        <v>0.16666666666666666</v>
      </c>
      <c r="H6" s="36">
        <f t="shared" si="10"/>
        <v>210</v>
      </c>
      <c r="I6" s="37">
        <f t="shared" si="11"/>
        <v>0.15972222222222221</v>
      </c>
      <c r="J6" s="4">
        <v>5</v>
      </c>
      <c r="K6" s="7"/>
      <c r="L6" s="130">
        <v>1.7361111111111112E-2</v>
      </c>
      <c r="M6" s="130">
        <v>2.9861111111111113E-2</v>
      </c>
      <c r="N6" s="130">
        <v>0.15625</v>
      </c>
      <c r="O6" s="130">
        <v>0.15902777777777777</v>
      </c>
      <c r="P6" s="131">
        <v>3.3884699999999999</v>
      </c>
      <c r="Q6" t="s">
        <v>45</v>
      </c>
      <c r="R6" t="s">
        <v>44</v>
      </c>
      <c r="S6" t="s">
        <v>45</v>
      </c>
      <c r="T6" t="s">
        <v>45</v>
      </c>
      <c r="U6" s="7"/>
      <c r="V6" s="13">
        <f t="shared" si="12"/>
        <v>18</v>
      </c>
      <c r="W6" s="13">
        <f t="shared" si="12"/>
        <v>182</v>
      </c>
      <c r="X6" s="40">
        <f t="shared" si="13"/>
        <v>25</v>
      </c>
      <c r="Y6" s="4">
        <f t="shared" si="13"/>
        <v>13.000000000000004</v>
      </c>
      <c r="Z6" s="4">
        <f t="shared" si="1"/>
        <v>-14.999999999999986</v>
      </c>
      <c r="AA6" s="4">
        <f t="shared" si="2"/>
        <v>-3</v>
      </c>
      <c r="AB6" s="4">
        <f t="shared" si="3"/>
        <v>-11</v>
      </c>
      <c r="AC6" s="13">
        <f t="shared" si="4"/>
        <v>4</v>
      </c>
      <c r="AD6" s="15">
        <f t="shared" si="5"/>
        <v>39.999999999999986</v>
      </c>
      <c r="AG6" s="18">
        <v>0</v>
      </c>
      <c r="AH6" s="19">
        <f t="shared" si="6"/>
        <v>30</v>
      </c>
      <c r="AI6" s="19">
        <f t="shared" si="7"/>
        <v>240</v>
      </c>
      <c r="AJ6" s="20">
        <f t="shared" si="14"/>
        <v>15</v>
      </c>
      <c r="AK6" s="19">
        <f t="shared" si="15"/>
        <v>15</v>
      </c>
      <c r="AL6" s="19">
        <f t="shared" si="16"/>
        <v>43</v>
      </c>
      <c r="AM6" s="19">
        <f t="shared" si="17"/>
        <v>43</v>
      </c>
      <c r="AN6" s="19">
        <f t="shared" si="8"/>
        <v>225</v>
      </c>
      <c r="AO6" s="19">
        <f t="shared" si="18"/>
        <v>162.5</v>
      </c>
      <c r="AP6" s="19">
        <f t="shared" si="19"/>
        <v>229</v>
      </c>
      <c r="AQ6" s="19">
        <f t="shared" si="20"/>
        <v>390</v>
      </c>
      <c r="AR6" s="47">
        <f t="shared" si="21"/>
        <v>-80.57650000000001</v>
      </c>
      <c r="AT6">
        <v>-210</v>
      </c>
    </row>
    <row r="7" spans="1:48">
      <c r="A7" s="30">
        <f t="shared" si="0"/>
        <v>45814</v>
      </c>
      <c r="B7" s="31">
        <v>45814</v>
      </c>
      <c r="C7" s="32" t="s">
        <v>185</v>
      </c>
      <c r="D7" s="33">
        <v>0</v>
      </c>
      <c r="E7" s="35">
        <f t="shared" si="9"/>
        <v>2.0833333333333332E-2</v>
      </c>
      <c r="F7" s="34">
        <v>30</v>
      </c>
      <c r="G7" s="33">
        <v>0.16666666666666666</v>
      </c>
      <c r="H7" s="36">
        <f t="shared" si="10"/>
        <v>210</v>
      </c>
      <c r="I7" s="37">
        <f t="shared" si="11"/>
        <v>0.15902777777777777</v>
      </c>
      <c r="J7" s="4">
        <v>5</v>
      </c>
      <c r="K7" s="7"/>
      <c r="L7" s="130">
        <v>1.9444444444444445E-2</v>
      </c>
      <c r="M7" s="130">
        <v>3.9583333333333331E-2</v>
      </c>
      <c r="N7" s="130">
        <v>0.15555555555555556</v>
      </c>
      <c r="O7" s="130">
        <v>0.15833333333333333</v>
      </c>
      <c r="P7" s="131">
        <v>3.3911500000000001</v>
      </c>
      <c r="Q7" t="s">
        <v>44</v>
      </c>
      <c r="R7" t="s">
        <v>45</v>
      </c>
      <c r="S7" t="s">
        <v>45</v>
      </c>
      <c r="T7" t="s">
        <v>45</v>
      </c>
      <c r="U7" s="7"/>
      <c r="V7" s="13">
        <f t="shared" si="12"/>
        <v>28.999999999999996</v>
      </c>
      <c r="W7" s="13">
        <f t="shared" si="12"/>
        <v>167</v>
      </c>
      <c r="X7" s="40">
        <f t="shared" si="13"/>
        <v>28</v>
      </c>
      <c r="Y7" s="4">
        <f t="shared" si="13"/>
        <v>27</v>
      </c>
      <c r="Z7" s="4">
        <f t="shared" si="1"/>
        <v>-15.999999999999982</v>
      </c>
      <c r="AA7" s="4">
        <f t="shared" si="2"/>
        <v>-15</v>
      </c>
      <c r="AB7" s="4">
        <f t="shared" si="3"/>
        <v>-11.999999999999996</v>
      </c>
      <c r="AC7" s="13">
        <f t="shared" si="4"/>
        <v>4</v>
      </c>
      <c r="AD7" s="15">
        <f t="shared" si="5"/>
        <v>43.999999999999986</v>
      </c>
      <c r="AG7" s="18">
        <v>0</v>
      </c>
      <c r="AH7" s="19">
        <f t="shared" si="6"/>
        <v>30</v>
      </c>
      <c r="AI7" s="19">
        <f t="shared" si="7"/>
        <v>240</v>
      </c>
      <c r="AJ7" s="20">
        <f t="shared" si="14"/>
        <v>18</v>
      </c>
      <c r="AK7" s="19">
        <f t="shared" si="15"/>
        <v>18</v>
      </c>
      <c r="AL7" s="19">
        <f t="shared" si="16"/>
        <v>57</v>
      </c>
      <c r="AM7" s="19">
        <f t="shared" si="17"/>
        <v>57</v>
      </c>
      <c r="AN7" s="19">
        <f t="shared" si="8"/>
        <v>224</v>
      </c>
      <c r="AO7" s="19">
        <f t="shared" si="18"/>
        <v>162</v>
      </c>
      <c r="AP7" s="19">
        <f t="shared" si="19"/>
        <v>228</v>
      </c>
      <c r="AQ7" s="19">
        <f t="shared" si="20"/>
        <v>394</v>
      </c>
      <c r="AR7" s="47">
        <f t="shared" si="21"/>
        <v>-80.442499999999995</v>
      </c>
      <c r="AS7">
        <v>-225</v>
      </c>
    </row>
    <row r="8" spans="1:48">
      <c r="A8" s="30">
        <f t="shared" si="0"/>
        <v>45815</v>
      </c>
      <c r="B8" s="31">
        <v>45815</v>
      </c>
      <c r="C8" s="32" t="s">
        <v>185</v>
      </c>
      <c r="D8" s="33">
        <v>0</v>
      </c>
      <c r="E8" s="35">
        <f t="shared" si="9"/>
        <v>2.0833333333333332E-2</v>
      </c>
      <c r="F8" s="34">
        <v>30</v>
      </c>
      <c r="G8" s="33">
        <v>0.16666666666666666</v>
      </c>
      <c r="H8" s="36">
        <f t="shared" si="10"/>
        <v>210</v>
      </c>
      <c r="I8" s="37">
        <f t="shared" si="11"/>
        <v>0.16944444444444443</v>
      </c>
      <c r="J8" s="4">
        <v>5</v>
      </c>
      <c r="K8" s="7"/>
      <c r="L8" s="132">
        <v>3.2638888888888891E-2</v>
      </c>
      <c r="M8" s="130">
        <v>3.9583333333333331E-2</v>
      </c>
      <c r="N8" s="130">
        <v>0.16597222222222222</v>
      </c>
      <c r="O8" s="130">
        <v>0.16875000000000001</v>
      </c>
      <c r="P8" s="131">
        <v>3.3678400000000002</v>
      </c>
      <c r="Q8" t="s">
        <v>44</v>
      </c>
      <c r="R8" t="s">
        <v>44</v>
      </c>
      <c r="S8" t="s">
        <v>45</v>
      </c>
      <c r="T8" t="s">
        <v>45</v>
      </c>
      <c r="U8" s="7"/>
      <c r="V8" s="13">
        <f t="shared" si="12"/>
        <v>9.9999999999999947</v>
      </c>
      <c r="W8" s="13">
        <f t="shared" si="12"/>
        <v>182</v>
      </c>
      <c r="X8" s="40">
        <f t="shared" si="13"/>
        <v>47</v>
      </c>
      <c r="Y8" s="4">
        <f t="shared" si="13"/>
        <v>27</v>
      </c>
      <c r="Z8" s="4">
        <f t="shared" si="1"/>
        <v>-0.99999999999999645</v>
      </c>
      <c r="AA8" s="4">
        <f t="shared" si="2"/>
        <v>19</v>
      </c>
      <c r="AB8" s="4">
        <f t="shared" si="3"/>
        <v>3.0000000000000293</v>
      </c>
      <c r="AC8" s="13">
        <f t="shared" si="4"/>
        <v>4</v>
      </c>
      <c r="AD8" s="15">
        <f t="shared" si="5"/>
        <v>48</v>
      </c>
      <c r="AG8" s="18">
        <v>0</v>
      </c>
      <c r="AH8" s="19">
        <f t="shared" si="6"/>
        <v>30</v>
      </c>
      <c r="AI8" s="19">
        <f t="shared" si="7"/>
        <v>240</v>
      </c>
      <c r="AJ8" s="20">
        <f t="shared" si="14"/>
        <v>37</v>
      </c>
      <c r="AK8" s="19">
        <f t="shared" si="15"/>
        <v>37</v>
      </c>
      <c r="AL8" s="19">
        <f t="shared" si="16"/>
        <v>57</v>
      </c>
      <c r="AM8" s="19">
        <f t="shared" si="17"/>
        <v>57</v>
      </c>
      <c r="AN8" s="19">
        <f t="shared" si="8"/>
        <v>239</v>
      </c>
      <c r="AO8" s="19">
        <f t="shared" si="18"/>
        <v>169.5</v>
      </c>
      <c r="AP8" s="19">
        <f t="shared" si="19"/>
        <v>243</v>
      </c>
      <c r="AQ8" s="19">
        <f t="shared" si="20"/>
        <v>398</v>
      </c>
      <c r="AR8" s="47">
        <f t="shared" si="21"/>
        <v>-81.608000000000004</v>
      </c>
      <c r="AS8">
        <v>-225</v>
      </c>
      <c r="AT8">
        <v>-210</v>
      </c>
    </row>
    <row r="9" spans="1:48">
      <c r="A9" s="30">
        <f t="shared" si="0"/>
        <v>45816</v>
      </c>
      <c r="B9" s="31">
        <v>45816</v>
      </c>
      <c r="C9" s="32" t="s">
        <v>185</v>
      </c>
      <c r="D9" s="33">
        <v>0</v>
      </c>
      <c r="E9" s="35">
        <f t="shared" si="9"/>
        <v>2.0833333333333332E-2</v>
      </c>
      <c r="F9" s="34">
        <v>30</v>
      </c>
      <c r="G9" s="33">
        <v>0.16666666666666666</v>
      </c>
      <c r="H9" s="36">
        <f t="shared" si="10"/>
        <v>210</v>
      </c>
      <c r="I9" s="37">
        <f t="shared" si="11"/>
        <v>0.16874999999999998</v>
      </c>
      <c r="J9" s="4">
        <v>5</v>
      </c>
      <c r="K9" s="7"/>
      <c r="L9" s="130">
        <v>3.4027777777777775E-2</v>
      </c>
      <c r="M9" s="130">
        <v>4.5138888888888888E-2</v>
      </c>
      <c r="N9" s="130">
        <v>0.16527777777777777</v>
      </c>
      <c r="O9" s="130">
        <v>0.16805555555555557</v>
      </c>
      <c r="P9" s="131">
        <v>3.3654000000000002</v>
      </c>
      <c r="Q9" t="s">
        <v>44</v>
      </c>
      <c r="R9" t="s">
        <v>45</v>
      </c>
      <c r="S9" t="s">
        <v>45</v>
      </c>
      <c r="T9" t="s">
        <v>45</v>
      </c>
      <c r="U9" s="7"/>
      <c r="V9" s="13">
        <f t="shared" si="12"/>
        <v>16.000000000000004</v>
      </c>
      <c r="W9" s="13">
        <f t="shared" si="12"/>
        <v>172.99999999999997</v>
      </c>
      <c r="X9" s="40">
        <f t="shared" si="13"/>
        <v>48.999999999999993</v>
      </c>
      <c r="Y9" s="4">
        <f t="shared" si="13"/>
        <v>35</v>
      </c>
      <c r="Z9" s="4">
        <f t="shared" si="1"/>
        <v>-1.9999999999999929</v>
      </c>
      <c r="AA9" s="4">
        <f t="shared" si="2"/>
        <v>11.999999999999972</v>
      </c>
      <c r="AB9" s="4">
        <f t="shared" si="3"/>
        <v>2.0000000000000329</v>
      </c>
      <c r="AC9" s="13">
        <f t="shared" si="4"/>
        <v>4</v>
      </c>
      <c r="AD9" s="15">
        <f t="shared" si="5"/>
        <v>50.999999999999986</v>
      </c>
      <c r="AG9" s="18">
        <v>0</v>
      </c>
      <c r="AH9" s="19">
        <f t="shared" si="6"/>
        <v>30</v>
      </c>
      <c r="AI9" s="19">
        <f t="shared" si="7"/>
        <v>240</v>
      </c>
      <c r="AJ9" s="20">
        <f t="shared" si="14"/>
        <v>38.999999999999993</v>
      </c>
      <c r="AK9" s="19">
        <f t="shared" si="15"/>
        <v>38.999999999999993</v>
      </c>
      <c r="AL9" s="19">
        <f t="shared" si="16"/>
        <v>65</v>
      </c>
      <c r="AM9" s="19">
        <f t="shared" si="17"/>
        <v>65</v>
      </c>
      <c r="AN9" s="19">
        <f t="shared" si="8"/>
        <v>237.99999999999997</v>
      </c>
      <c r="AO9" s="19">
        <f t="shared" si="18"/>
        <v>169</v>
      </c>
      <c r="AP9" s="19">
        <f t="shared" si="19"/>
        <v>241.99999999999997</v>
      </c>
      <c r="AQ9" s="19">
        <f t="shared" si="20"/>
        <v>401</v>
      </c>
      <c r="AR9" s="47">
        <f t="shared" si="21"/>
        <v>-81.72999999999999</v>
      </c>
      <c r="AS9">
        <v>-225</v>
      </c>
    </row>
    <row r="10" spans="1:48">
      <c r="A10" s="30">
        <f t="shared" si="0"/>
        <v>45817</v>
      </c>
      <c r="B10" s="31">
        <v>45817</v>
      </c>
      <c r="C10" s="32" t="s">
        <v>185</v>
      </c>
      <c r="D10" s="33">
        <v>0</v>
      </c>
      <c r="E10" s="35">
        <f t="shared" si="9"/>
        <v>2.0833333333333332E-2</v>
      </c>
      <c r="F10" s="34">
        <v>30</v>
      </c>
      <c r="G10" s="33">
        <v>0.16666666666666666</v>
      </c>
      <c r="H10" s="36">
        <f t="shared" si="10"/>
        <v>210</v>
      </c>
      <c r="I10" s="37">
        <f t="shared" si="11"/>
        <v>0.16666666666666666</v>
      </c>
      <c r="J10" s="4">
        <v>5</v>
      </c>
      <c r="K10" s="7"/>
      <c r="L10" s="133">
        <v>5.2083333333333336E-2</v>
      </c>
      <c r="M10" s="130">
        <v>5.8333333333333327E-2</v>
      </c>
      <c r="N10" s="130">
        <v>0.16319444444444445</v>
      </c>
      <c r="O10" s="130">
        <v>0.16597222222222222</v>
      </c>
      <c r="P10" s="131">
        <v>3.37534</v>
      </c>
      <c r="Q10" t="s">
        <v>44</v>
      </c>
      <c r="R10" t="s">
        <v>44</v>
      </c>
      <c r="S10" t="s">
        <v>45</v>
      </c>
      <c r="T10" t="s">
        <v>45</v>
      </c>
      <c r="U10" s="7"/>
      <c r="V10" s="13">
        <f t="shared" si="12"/>
        <v>8.9999999999999876</v>
      </c>
      <c r="W10" s="13">
        <f t="shared" si="12"/>
        <v>151.00000000000003</v>
      </c>
      <c r="X10" s="40">
        <f t="shared" si="13"/>
        <v>75</v>
      </c>
      <c r="Y10" s="4">
        <f t="shared" si="13"/>
        <v>53.999999999999986</v>
      </c>
      <c r="Z10" s="4">
        <f t="shared" si="1"/>
        <v>-4.9999999999999822</v>
      </c>
      <c r="AA10" s="4">
        <f t="shared" si="2"/>
        <v>16.000000000000028</v>
      </c>
      <c r="AB10" s="4">
        <f t="shared" si="3"/>
        <v>-0.99999999999999645</v>
      </c>
      <c r="AC10" s="13">
        <f t="shared" si="4"/>
        <v>4</v>
      </c>
      <c r="AD10" s="15">
        <f t="shared" si="5"/>
        <v>79.999999999999986</v>
      </c>
      <c r="AG10" s="18">
        <v>0</v>
      </c>
      <c r="AH10" s="19">
        <f t="shared" si="6"/>
        <v>30</v>
      </c>
      <c r="AI10" s="19">
        <f t="shared" si="7"/>
        <v>240</v>
      </c>
      <c r="AJ10" s="20">
        <f t="shared" si="14"/>
        <v>65</v>
      </c>
      <c r="AK10" s="19">
        <f t="shared" si="15"/>
        <v>65</v>
      </c>
      <c r="AL10" s="19">
        <f t="shared" si="16"/>
        <v>83.999999999999986</v>
      </c>
      <c r="AM10" s="19">
        <f t="shared" si="17"/>
        <v>83.999999999999986</v>
      </c>
      <c r="AN10" s="19">
        <f t="shared" si="8"/>
        <v>235</v>
      </c>
      <c r="AO10" s="19">
        <f t="shared" si="18"/>
        <v>167.5</v>
      </c>
      <c r="AP10" s="19">
        <f t="shared" si="19"/>
        <v>239</v>
      </c>
      <c r="AQ10" s="19">
        <f t="shared" si="20"/>
        <v>430</v>
      </c>
      <c r="AR10" s="47">
        <f t="shared" si="21"/>
        <v>-81.233000000000004</v>
      </c>
      <c r="AS10">
        <v>-225</v>
      </c>
      <c r="AT10">
        <v>-210</v>
      </c>
    </row>
    <row r="11" spans="1:48">
      <c r="A11" s="30">
        <f t="shared" si="0"/>
        <v>45818</v>
      </c>
      <c r="B11" s="31">
        <v>45818</v>
      </c>
      <c r="C11" s="32" t="s">
        <v>185</v>
      </c>
      <c r="D11" s="33">
        <v>0</v>
      </c>
      <c r="E11" s="35">
        <f t="shared" si="9"/>
        <v>2.0833333333333332E-2</v>
      </c>
      <c r="F11" s="34">
        <v>30</v>
      </c>
      <c r="G11" s="33">
        <v>0.16666666666666666</v>
      </c>
      <c r="H11" s="36">
        <f t="shared" si="10"/>
        <v>210</v>
      </c>
      <c r="I11" s="37">
        <f t="shared" si="11"/>
        <v>0.14513888888888887</v>
      </c>
      <c r="J11" s="4">
        <v>5</v>
      </c>
      <c r="K11" s="7"/>
      <c r="L11" s="133">
        <v>1.9444444444444445E-2</v>
      </c>
      <c r="M11" s="130">
        <v>3.5416666666666666E-2</v>
      </c>
      <c r="N11" s="134">
        <v>0.14166666666666666</v>
      </c>
      <c r="O11" s="130">
        <v>0.14444444444444443</v>
      </c>
      <c r="P11" s="131">
        <v>3.3641299999999998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2"/>
        <v>23</v>
      </c>
      <c r="W11" s="13">
        <f t="shared" si="12"/>
        <v>153</v>
      </c>
      <c r="X11" s="40">
        <f t="shared" si="13"/>
        <v>28</v>
      </c>
      <c r="Y11" s="4">
        <f t="shared" si="13"/>
        <v>21</v>
      </c>
      <c r="Z11" s="4">
        <f t="shared" si="1"/>
        <v>-35.999999999999993</v>
      </c>
      <c r="AA11" s="4">
        <f t="shared" si="2"/>
        <v>-29</v>
      </c>
      <c r="AB11" s="4">
        <f t="shared" si="3"/>
        <v>-32.000000000000007</v>
      </c>
      <c r="AC11" s="13">
        <f t="shared" si="4"/>
        <v>4</v>
      </c>
      <c r="AD11" s="15">
        <f t="shared" si="5"/>
        <v>63.999999999999993</v>
      </c>
      <c r="AG11" s="18">
        <v>0</v>
      </c>
      <c r="AH11" s="19">
        <f t="shared" si="6"/>
        <v>30</v>
      </c>
      <c r="AI11" s="19">
        <f t="shared" si="7"/>
        <v>240</v>
      </c>
      <c r="AJ11" s="20">
        <f t="shared" si="14"/>
        <v>18</v>
      </c>
      <c r="AK11" s="19">
        <f t="shared" si="15"/>
        <v>18</v>
      </c>
      <c r="AL11" s="19">
        <f t="shared" si="16"/>
        <v>51</v>
      </c>
      <c r="AM11" s="19">
        <f t="shared" si="17"/>
        <v>51</v>
      </c>
      <c r="AN11" s="19">
        <f t="shared" si="8"/>
        <v>204</v>
      </c>
      <c r="AO11" s="19">
        <f t="shared" si="18"/>
        <v>152</v>
      </c>
      <c r="AP11" s="19">
        <f t="shared" si="19"/>
        <v>208</v>
      </c>
      <c r="AQ11" s="19">
        <f t="shared" si="20"/>
        <v>414</v>
      </c>
      <c r="AR11" s="47">
        <f t="shared" si="21"/>
        <v>-81.793499999999995</v>
      </c>
    </row>
    <row r="12" spans="1:48">
      <c r="A12" s="30">
        <f t="shared" si="0"/>
        <v>45819</v>
      </c>
      <c r="B12" s="31">
        <v>45819</v>
      </c>
      <c r="C12" s="32" t="s">
        <v>185</v>
      </c>
      <c r="D12" s="33">
        <v>0</v>
      </c>
      <c r="E12" s="35">
        <f t="shared" si="9"/>
        <v>2.0833333333333332E-2</v>
      </c>
      <c r="F12" s="34">
        <v>30</v>
      </c>
      <c r="G12" s="33">
        <v>0.16666666666666666</v>
      </c>
      <c r="H12" s="36">
        <f t="shared" si="10"/>
        <v>210</v>
      </c>
      <c r="I12" s="37">
        <f t="shared" si="11"/>
        <v>0.13888888888888887</v>
      </c>
      <c r="J12" s="4">
        <v>5</v>
      </c>
      <c r="K12" s="7"/>
      <c r="L12" s="133">
        <v>1.7361111111111112E-2</v>
      </c>
      <c r="M12" s="130">
        <v>2.9861111111111113E-2</v>
      </c>
      <c r="N12" s="130">
        <v>0.13541666666666666</v>
      </c>
      <c r="O12" s="130">
        <v>0.13819444444444445</v>
      </c>
      <c r="P12" s="131">
        <v>3.3414999999999999</v>
      </c>
      <c r="Q12" t="s">
        <v>45</v>
      </c>
      <c r="R12" t="s">
        <v>44</v>
      </c>
      <c r="S12" t="s">
        <v>45</v>
      </c>
      <c r="T12" t="s">
        <v>45</v>
      </c>
      <c r="U12" s="7"/>
      <c r="V12" s="13">
        <f t="shared" si="12"/>
        <v>18</v>
      </c>
      <c r="W12" s="13">
        <f t="shared" si="12"/>
        <v>151.99999999999997</v>
      </c>
      <c r="X12" s="40">
        <f t="shared" si="13"/>
        <v>25</v>
      </c>
      <c r="Y12" s="4">
        <f t="shared" si="13"/>
        <v>13.000000000000004</v>
      </c>
      <c r="Z12" s="4">
        <f t="shared" si="1"/>
        <v>-45</v>
      </c>
      <c r="AA12" s="4">
        <f t="shared" si="2"/>
        <v>-33.000000000000028</v>
      </c>
      <c r="AB12" s="4">
        <f t="shared" si="3"/>
        <v>-40.999999999999972</v>
      </c>
      <c r="AC12" s="13">
        <f t="shared" si="4"/>
        <v>4</v>
      </c>
      <c r="AD12" s="15">
        <f t="shared" si="5"/>
        <v>70</v>
      </c>
      <c r="AG12" s="18">
        <v>0</v>
      </c>
      <c r="AH12" s="19">
        <f t="shared" si="6"/>
        <v>30</v>
      </c>
      <c r="AI12" s="19">
        <f t="shared" si="7"/>
        <v>240</v>
      </c>
      <c r="AJ12" s="20">
        <f t="shared" si="14"/>
        <v>15</v>
      </c>
      <c r="AK12" s="19">
        <f t="shared" si="15"/>
        <v>15</v>
      </c>
      <c r="AL12" s="19">
        <f t="shared" si="16"/>
        <v>43</v>
      </c>
      <c r="AM12" s="19">
        <f t="shared" si="17"/>
        <v>43</v>
      </c>
      <c r="AN12" s="19">
        <f t="shared" si="8"/>
        <v>194.99999999999997</v>
      </c>
      <c r="AO12" s="19">
        <f t="shared" si="18"/>
        <v>147.5</v>
      </c>
      <c r="AP12" s="19">
        <f t="shared" si="19"/>
        <v>198.99999999999997</v>
      </c>
      <c r="AQ12" s="19">
        <f t="shared" si="20"/>
        <v>420</v>
      </c>
      <c r="AR12" s="47">
        <f t="shared" si="21"/>
        <v>-82.925000000000011</v>
      </c>
      <c r="AT12">
        <v>-210</v>
      </c>
    </row>
    <row r="13" spans="1:48">
      <c r="A13" s="30">
        <f t="shared" si="0"/>
        <v>45820</v>
      </c>
      <c r="B13" s="31">
        <v>45820</v>
      </c>
      <c r="C13" s="32" t="s">
        <v>185</v>
      </c>
      <c r="D13" s="33">
        <v>0</v>
      </c>
      <c r="E13" s="35">
        <f t="shared" si="9"/>
        <v>2.0833333333333332E-2</v>
      </c>
      <c r="F13" s="34">
        <v>30</v>
      </c>
      <c r="G13" s="33">
        <v>0.16666666666666666</v>
      </c>
      <c r="H13" s="36">
        <f t="shared" si="10"/>
        <v>210</v>
      </c>
      <c r="I13" s="37">
        <f t="shared" si="11"/>
        <v>0.14513888888888887</v>
      </c>
      <c r="J13" s="4">
        <v>5</v>
      </c>
      <c r="K13" s="7"/>
      <c r="L13" s="133">
        <v>2.013888888888889E-2</v>
      </c>
      <c r="M13" s="130">
        <v>3.4722222222222224E-2</v>
      </c>
      <c r="N13" s="134">
        <v>0.14166666666666666</v>
      </c>
      <c r="O13" s="130">
        <v>0.14444444444444443</v>
      </c>
      <c r="P13" s="131">
        <v>3.3562099999999999</v>
      </c>
      <c r="Q13" t="s">
        <v>45</v>
      </c>
      <c r="R13" t="s">
        <v>44</v>
      </c>
      <c r="S13" t="s">
        <v>45</v>
      </c>
      <c r="T13" t="s">
        <v>45</v>
      </c>
      <c r="U13" s="7"/>
      <c r="V13" s="13">
        <f t="shared" si="12"/>
        <v>21</v>
      </c>
      <c r="W13" s="13">
        <f t="shared" si="12"/>
        <v>154</v>
      </c>
      <c r="X13" s="40">
        <f t="shared" si="13"/>
        <v>29.000000000000004</v>
      </c>
      <c r="Y13" s="4">
        <f t="shared" si="13"/>
        <v>20.000000000000004</v>
      </c>
      <c r="Z13" s="4">
        <f t="shared" si="1"/>
        <v>-35.999999999999993</v>
      </c>
      <c r="AA13" s="4">
        <f t="shared" si="2"/>
        <v>-27</v>
      </c>
      <c r="AB13" s="4">
        <f t="shared" si="3"/>
        <v>-32.000000000000007</v>
      </c>
      <c r="AC13" s="13">
        <f t="shared" si="4"/>
        <v>4</v>
      </c>
      <c r="AD13" s="15">
        <f t="shared" si="5"/>
        <v>65</v>
      </c>
      <c r="AG13" s="18">
        <v>0</v>
      </c>
      <c r="AH13" s="19">
        <f t="shared" si="6"/>
        <v>30</v>
      </c>
      <c r="AI13" s="19">
        <f t="shared" si="7"/>
        <v>240</v>
      </c>
      <c r="AJ13" s="20">
        <f t="shared" si="14"/>
        <v>19.000000000000004</v>
      </c>
      <c r="AK13" s="19">
        <f t="shared" si="15"/>
        <v>19.000000000000004</v>
      </c>
      <c r="AL13" s="19">
        <f t="shared" si="16"/>
        <v>50</v>
      </c>
      <c r="AM13" s="19">
        <f t="shared" si="17"/>
        <v>50</v>
      </c>
      <c r="AN13" s="19">
        <f t="shared" si="8"/>
        <v>204</v>
      </c>
      <c r="AO13" s="19">
        <f t="shared" si="18"/>
        <v>152</v>
      </c>
      <c r="AP13" s="19">
        <f t="shared" si="19"/>
        <v>208</v>
      </c>
      <c r="AQ13" s="19">
        <f t="shared" si="20"/>
        <v>415</v>
      </c>
      <c r="AR13" s="47">
        <f t="shared" si="21"/>
        <v>-82.18950000000001</v>
      </c>
      <c r="AT13">
        <v>-210</v>
      </c>
    </row>
    <row r="14" spans="1:48">
      <c r="A14" s="30">
        <f t="shared" si="0"/>
        <v>45821</v>
      </c>
      <c r="B14" s="31">
        <v>45821</v>
      </c>
      <c r="C14" s="32" t="s">
        <v>185</v>
      </c>
      <c r="D14" s="33">
        <v>0</v>
      </c>
      <c r="E14" s="35">
        <f t="shared" si="9"/>
        <v>2.0833333333333332E-2</v>
      </c>
      <c r="F14" s="34">
        <v>30</v>
      </c>
      <c r="G14" s="33">
        <v>0.16666666666666666</v>
      </c>
      <c r="H14" s="36">
        <f t="shared" si="10"/>
        <v>210</v>
      </c>
      <c r="I14" s="37">
        <f t="shared" si="11"/>
        <v>0.17222222222222219</v>
      </c>
      <c r="J14" s="4">
        <v>5</v>
      </c>
      <c r="K14" s="7"/>
      <c r="L14" s="133">
        <v>6.1805555555555558E-2</v>
      </c>
      <c r="M14" s="130">
        <v>7.1527777777777787E-2</v>
      </c>
      <c r="N14" s="130">
        <v>0.16874999999999998</v>
      </c>
      <c r="O14" s="130">
        <v>0.17152777777777778</v>
      </c>
      <c r="P14" s="131">
        <v>3.3549600000000002</v>
      </c>
      <c r="Q14" t="s">
        <v>44</v>
      </c>
      <c r="R14" t="s">
        <v>45</v>
      </c>
      <c r="S14" t="s">
        <v>45</v>
      </c>
      <c r="T14" t="s">
        <v>45</v>
      </c>
      <c r="U14" s="7"/>
      <c r="V14" s="13">
        <f t="shared" si="12"/>
        <v>14.000000000000011</v>
      </c>
      <c r="W14" s="13">
        <f t="shared" si="12"/>
        <v>139.99999999999997</v>
      </c>
      <c r="X14" s="40">
        <f t="shared" si="13"/>
        <v>89</v>
      </c>
      <c r="Y14" s="4">
        <f t="shared" si="13"/>
        <v>73.000000000000014</v>
      </c>
      <c r="Z14" s="4">
        <f t="shared" si="1"/>
        <v>2.9999999999999893</v>
      </c>
      <c r="AA14" s="4">
        <f t="shared" si="2"/>
        <v>18.999999999999972</v>
      </c>
      <c r="AB14" s="4">
        <f t="shared" si="3"/>
        <v>7.0000000000000151</v>
      </c>
      <c r="AC14" s="13">
        <f t="shared" si="4"/>
        <v>4</v>
      </c>
      <c r="AD14" s="15">
        <f t="shared" si="5"/>
        <v>86.000000000000014</v>
      </c>
      <c r="AG14" s="18">
        <v>0</v>
      </c>
      <c r="AH14" s="19">
        <f t="shared" si="6"/>
        <v>30</v>
      </c>
      <c r="AI14" s="19">
        <f t="shared" si="7"/>
        <v>240</v>
      </c>
      <c r="AJ14" s="20">
        <f t="shared" si="14"/>
        <v>79</v>
      </c>
      <c r="AK14" s="19">
        <f t="shared" si="15"/>
        <v>79</v>
      </c>
      <c r="AL14" s="19">
        <f t="shared" si="16"/>
        <v>103.00000000000001</v>
      </c>
      <c r="AM14" s="19">
        <f t="shared" si="17"/>
        <v>103.00000000000001</v>
      </c>
      <c r="AN14" s="19">
        <f t="shared" si="8"/>
        <v>243</v>
      </c>
      <c r="AO14" s="19">
        <f t="shared" si="18"/>
        <v>171.5</v>
      </c>
      <c r="AP14" s="19">
        <f t="shared" si="19"/>
        <v>247</v>
      </c>
      <c r="AQ14" s="19">
        <f t="shared" si="20"/>
        <v>436</v>
      </c>
      <c r="AR14" s="47">
        <f t="shared" si="21"/>
        <v>-82.251999999999981</v>
      </c>
      <c r="AS14">
        <v>-225</v>
      </c>
    </row>
    <row r="15" spans="1:48">
      <c r="A15" s="30">
        <f t="shared" si="0"/>
        <v>45822</v>
      </c>
      <c r="B15" s="31">
        <v>45822</v>
      </c>
      <c r="C15" s="32" t="s">
        <v>185</v>
      </c>
      <c r="D15" s="33">
        <v>0</v>
      </c>
      <c r="E15" s="35">
        <f t="shared" si="9"/>
        <v>2.0833333333333332E-2</v>
      </c>
      <c r="F15" s="34">
        <v>30</v>
      </c>
      <c r="G15" s="33">
        <v>0.16666666666666666</v>
      </c>
      <c r="H15" s="36">
        <f t="shared" si="10"/>
        <v>210</v>
      </c>
      <c r="I15" s="37">
        <f t="shared" si="11"/>
        <v>0.17361111111111108</v>
      </c>
      <c r="J15" s="4">
        <v>5</v>
      </c>
      <c r="K15" s="7"/>
      <c r="L15" s="133">
        <v>4.7222222222222221E-2</v>
      </c>
      <c r="M15" s="132">
        <v>5.5555555555555552E-2</v>
      </c>
      <c r="N15" s="132">
        <v>0.17013888888888887</v>
      </c>
      <c r="O15" s="130">
        <v>0.17291666666666666</v>
      </c>
      <c r="P15" s="131">
        <v>3.3526500000000001</v>
      </c>
      <c r="Q15" t="s">
        <v>44</v>
      </c>
      <c r="R15" t="s">
        <v>45</v>
      </c>
      <c r="S15" t="s">
        <v>45</v>
      </c>
      <c r="T15" t="s">
        <v>45</v>
      </c>
      <c r="U15" s="7"/>
      <c r="V15" s="13">
        <f t="shared" si="12"/>
        <v>11.999999999999996</v>
      </c>
      <c r="W15" s="13">
        <f t="shared" si="12"/>
        <v>164.99999999999997</v>
      </c>
      <c r="X15" s="40">
        <f t="shared" si="13"/>
        <v>68</v>
      </c>
      <c r="Y15" s="4">
        <f t="shared" si="13"/>
        <v>50</v>
      </c>
      <c r="Z15" s="4">
        <f t="shared" si="1"/>
        <v>4.9999999999999822</v>
      </c>
      <c r="AA15" s="4">
        <f t="shared" si="2"/>
        <v>22.999999999999972</v>
      </c>
      <c r="AB15" s="4">
        <f t="shared" si="3"/>
        <v>9.0000000000000071</v>
      </c>
      <c r="AC15" s="13">
        <f t="shared" si="4"/>
        <v>4</v>
      </c>
      <c r="AD15" s="15">
        <f t="shared" si="5"/>
        <v>63.000000000000014</v>
      </c>
      <c r="AG15" s="18">
        <v>0</v>
      </c>
      <c r="AH15" s="19">
        <f t="shared" si="6"/>
        <v>30</v>
      </c>
      <c r="AI15" s="19">
        <f t="shared" si="7"/>
        <v>240</v>
      </c>
      <c r="AJ15" s="20">
        <f t="shared" si="14"/>
        <v>58</v>
      </c>
      <c r="AK15" s="19">
        <f t="shared" si="15"/>
        <v>58</v>
      </c>
      <c r="AL15" s="19">
        <f t="shared" si="16"/>
        <v>80</v>
      </c>
      <c r="AM15" s="19">
        <f t="shared" si="17"/>
        <v>80</v>
      </c>
      <c r="AN15" s="19">
        <f t="shared" si="8"/>
        <v>244.99999999999997</v>
      </c>
      <c r="AO15" s="19">
        <f t="shared" si="18"/>
        <v>172.5</v>
      </c>
      <c r="AP15" s="19">
        <f t="shared" si="19"/>
        <v>248.99999999999997</v>
      </c>
      <c r="AQ15" s="19">
        <f t="shared" si="20"/>
        <v>413</v>
      </c>
      <c r="AR15" s="47">
        <f t="shared" si="21"/>
        <v>-82.367500000000007</v>
      </c>
      <c r="AS15">
        <v>-225</v>
      </c>
    </row>
    <row r="16" spans="1:48">
      <c r="A16" s="30">
        <f t="shared" si="0"/>
        <v>45823</v>
      </c>
      <c r="B16" s="31">
        <v>45823</v>
      </c>
      <c r="C16" s="32" t="s">
        <v>185</v>
      </c>
      <c r="D16" s="33">
        <v>0</v>
      </c>
      <c r="E16" s="35">
        <f t="shared" si="9"/>
        <v>2.0833333333333332E-2</v>
      </c>
      <c r="F16" s="34">
        <v>30</v>
      </c>
      <c r="G16" s="33">
        <v>0.16666666666666666</v>
      </c>
      <c r="H16" s="36">
        <f t="shared" si="10"/>
        <v>210</v>
      </c>
      <c r="I16" s="37">
        <f t="shared" si="11"/>
        <v>0.16527777777777777</v>
      </c>
      <c r="J16" s="4">
        <v>5</v>
      </c>
      <c r="K16" s="7"/>
      <c r="L16" s="133">
        <v>4.2361111111111106E-2</v>
      </c>
      <c r="M16" s="130">
        <v>5.1388888888888894E-2</v>
      </c>
      <c r="N16" s="133">
        <v>0.16180555555555556</v>
      </c>
      <c r="O16" s="130">
        <v>0.16458333333333333</v>
      </c>
      <c r="P16" s="131">
        <v>3.3378899999999998</v>
      </c>
      <c r="Q16" t="s">
        <v>44</v>
      </c>
      <c r="R16" t="s">
        <v>45</v>
      </c>
      <c r="S16" t="s">
        <v>44</v>
      </c>
      <c r="T16" t="s">
        <v>45</v>
      </c>
      <c r="U16" s="7"/>
      <c r="V16" s="13">
        <f t="shared" si="12"/>
        <v>13.000000000000014</v>
      </c>
      <c r="W16" s="13">
        <f t="shared" si="12"/>
        <v>159</v>
      </c>
      <c r="X16" s="40">
        <f t="shared" si="13"/>
        <v>60.999999999999993</v>
      </c>
      <c r="Y16" s="4">
        <f t="shared" si="13"/>
        <v>44.000000000000007</v>
      </c>
      <c r="Z16" s="4">
        <f t="shared" si="1"/>
        <v>-6.9999999999999751</v>
      </c>
      <c r="AA16" s="4">
        <f t="shared" si="2"/>
        <v>10</v>
      </c>
      <c r="AB16" s="4">
        <f t="shared" si="3"/>
        <v>-2.9999999999999893</v>
      </c>
      <c r="AC16" s="13">
        <f t="shared" si="4"/>
        <v>4</v>
      </c>
      <c r="AD16" s="15">
        <f t="shared" si="5"/>
        <v>67.999999999999972</v>
      </c>
      <c r="AG16" s="18">
        <v>0</v>
      </c>
      <c r="AH16" s="19">
        <f t="shared" si="6"/>
        <v>30</v>
      </c>
      <c r="AI16" s="19">
        <f t="shared" si="7"/>
        <v>240</v>
      </c>
      <c r="AJ16" s="20">
        <f t="shared" si="14"/>
        <v>50.999999999999993</v>
      </c>
      <c r="AK16" s="19">
        <f t="shared" si="15"/>
        <v>50.999999999999993</v>
      </c>
      <c r="AL16" s="19">
        <f t="shared" si="16"/>
        <v>74</v>
      </c>
      <c r="AM16" s="19">
        <f t="shared" si="17"/>
        <v>74</v>
      </c>
      <c r="AN16" s="19">
        <f>AM16+W16</f>
        <v>233</v>
      </c>
      <c r="AO16" s="19">
        <f t="shared" si="18"/>
        <v>166.5</v>
      </c>
      <c r="AP16" s="19">
        <f t="shared" si="19"/>
        <v>237</v>
      </c>
      <c r="AQ16" s="19">
        <f t="shared" si="20"/>
        <v>418</v>
      </c>
      <c r="AR16" s="47">
        <f t="shared" si="21"/>
        <v>-83.105500000000006</v>
      </c>
      <c r="AS16">
        <v>-225</v>
      </c>
      <c r="AU16">
        <v>-195</v>
      </c>
    </row>
    <row r="17" spans="1:46">
      <c r="A17" s="30">
        <f t="shared" si="0"/>
        <v>45824</v>
      </c>
      <c r="B17" s="31">
        <v>45824</v>
      </c>
      <c r="C17" s="32" t="s">
        <v>185</v>
      </c>
      <c r="D17" s="33">
        <v>0</v>
      </c>
      <c r="E17" s="35">
        <f t="shared" si="9"/>
        <v>2.0833333333333332E-2</v>
      </c>
      <c r="F17" s="34">
        <v>30</v>
      </c>
      <c r="G17" s="33">
        <v>0.16666666666666666</v>
      </c>
      <c r="H17" s="36">
        <f t="shared" si="10"/>
        <v>210</v>
      </c>
      <c r="I17" s="37">
        <f t="shared" si="11"/>
        <v>0.17013888888888887</v>
      </c>
      <c r="J17" s="4">
        <v>5</v>
      </c>
      <c r="K17" s="7"/>
      <c r="L17" s="130">
        <v>3.5416666666666666E-2</v>
      </c>
      <c r="M17" s="130">
        <v>4.583333333333333E-2</v>
      </c>
      <c r="N17" s="134">
        <v>0.16666666666666666</v>
      </c>
      <c r="O17" s="130">
        <v>0.16944444444444445</v>
      </c>
      <c r="P17" s="131">
        <v>3.3488099999999998</v>
      </c>
      <c r="Q17" t="s">
        <v>44</v>
      </c>
      <c r="R17" t="s">
        <v>45</v>
      </c>
      <c r="S17" t="s">
        <v>45</v>
      </c>
      <c r="T17" t="s">
        <v>45</v>
      </c>
      <c r="U17" s="7"/>
      <c r="V17" s="13">
        <f t="shared" si="12"/>
        <v>14.999999999999996</v>
      </c>
      <c r="W17" s="13">
        <f t="shared" si="12"/>
        <v>173.99999999999997</v>
      </c>
      <c r="X17" s="40">
        <f t="shared" si="13"/>
        <v>51</v>
      </c>
      <c r="Y17" s="4">
        <f t="shared" si="13"/>
        <v>36</v>
      </c>
      <c r="Z17" s="4">
        <f t="shared" si="1"/>
        <v>0</v>
      </c>
      <c r="AA17" s="4">
        <f t="shared" si="2"/>
        <v>14.999999999999972</v>
      </c>
      <c r="AB17" s="4">
        <f t="shared" si="3"/>
        <v>4.0000000000000258</v>
      </c>
      <c r="AC17" s="13">
        <f t="shared" si="4"/>
        <v>4</v>
      </c>
      <c r="AD17" s="15">
        <f t="shared" si="5"/>
        <v>51</v>
      </c>
      <c r="AG17" s="18">
        <v>0</v>
      </c>
      <c r="AH17" s="19">
        <f t="shared" si="6"/>
        <v>30</v>
      </c>
      <c r="AI17" s="19">
        <f t="shared" si="7"/>
        <v>240</v>
      </c>
      <c r="AJ17" s="20">
        <f t="shared" si="14"/>
        <v>41</v>
      </c>
      <c r="AK17" s="19">
        <f t="shared" si="15"/>
        <v>41</v>
      </c>
      <c r="AL17" s="19">
        <f t="shared" si="16"/>
        <v>66</v>
      </c>
      <c r="AM17" s="19">
        <f t="shared" si="17"/>
        <v>66</v>
      </c>
      <c r="AN17" s="19">
        <f>AM17+W17</f>
        <v>239.99999999999997</v>
      </c>
      <c r="AO17" s="19">
        <f t="shared" si="18"/>
        <v>170</v>
      </c>
      <c r="AP17" s="19">
        <f t="shared" si="19"/>
        <v>243.99999999999997</v>
      </c>
      <c r="AQ17" s="19">
        <f t="shared" si="20"/>
        <v>401</v>
      </c>
      <c r="AR17" s="47">
        <f t="shared" si="21"/>
        <v>-82.559500000000014</v>
      </c>
      <c r="AS17">
        <v>-225</v>
      </c>
    </row>
    <row r="18" spans="1:46">
      <c r="A18" s="30">
        <f t="shared" si="0"/>
        <v>45825</v>
      </c>
      <c r="B18" s="31">
        <v>45825</v>
      </c>
      <c r="C18" s="32" t="s">
        <v>185</v>
      </c>
      <c r="D18" s="33">
        <v>0</v>
      </c>
      <c r="E18" s="35">
        <f t="shared" si="9"/>
        <v>2.0833333333333332E-2</v>
      </c>
      <c r="F18" s="34">
        <v>30</v>
      </c>
      <c r="G18" s="33">
        <v>0.16666666666666666</v>
      </c>
      <c r="H18" s="36">
        <f t="shared" si="10"/>
        <v>210</v>
      </c>
      <c r="I18" s="37">
        <f t="shared" si="11"/>
        <v>0.13472222222222222</v>
      </c>
      <c r="J18" s="4">
        <v>5</v>
      </c>
      <c r="K18" s="7"/>
      <c r="L18" s="130">
        <v>2.0833333333333332E-2</v>
      </c>
      <c r="M18" s="130">
        <v>3.1944444444444442E-2</v>
      </c>
      <c r="N18" s="134">
        <v>0.13125000000000001</v>
      </c>
      <c r="O18" s="130">
        <v>0.13402777777777777</v>
      </c>
      <c r="P18" s="131">
        <v>3.3387500000000001</v>
      </c>
      <c r="Q18" t="s">
        <v>45</v>
      </c>
      <c r="R18" t="s">
        <v>45</v>
      </c>
      <c r="S18" t="s">
        <v>45</v>
      </c>
      <c r="T18" t="s">
        <v>45</v>
      </c>
      <c r="U18" s="7"/>
      <c r="V18" s="13">
        <f t="shared" si="12"/>
        <v>15.999999999999998</v>
      </c>
      <c r="W18" s="13">
        <f t="shared" si="12"/>
        <v>143</v>
      </c>
      <c r="X18" s="40">
        <f t="shared" si="13"/>
        <v>30</v>
      </c>
      <c r="Y18" s="4">
        <f t="shared" si="13"/>
        <v>15.999999999999998</v>
      </c>
      <c r="Z18" s="4">
        <f t="shared" si="1"/>
        <v>-50.999999999999979</v>
      </c>
      <c r="AA18" s="4">
        <f t="shared" si="2"/>
        <v>-37</v>
      </c>
      <c r="AB18" s="4">
        <f t="shared" si="3"/>
        <v>-46.999999999999993</v>
      </c>
      <c r="AC18" s="13">
        <f t="shared" si="4"/>
        <v>4</v>
      </c>
      <c r="AD18" s="15">
        <f t="shared" si="5"/>
        <v>80.999999999999972</v>
      </c>
      <c r="AG18" s="18">
        <v>0</v>
      </c>
      <c r="AH18" s="19">
        <f t="shared" si="6"/>
        <v>30</v>
      </c>
      <c r="AI18" s="19">
        <f t="shared" si="7"/>
        <v>240</v>
      </c>
      <c r="AJ18" s="20">
        <f t="shared" si="14"/>
        <v>20</v>
      </c>
      <c r="AK18" s="19">
        <f t="shared" si="15"/>
        <v>20</v>
      </c>
      <c r="AL18" s="19">
        <f t="shared" si="16"/>
        <v>46</v>
      </c>
      <c r="AM18" s="19">
        <f t="shared" si="17"/>
        <v>46</v>
      </c>
      <c r="AN18" s="19">
        <f>AM18+W18</f>
        <v>189</v>
      </c>
      <c r="AO18" s="19">
        <f t="shared" si="18"/>
        <v>144.5</v>
      </c>
      <c r="AP18" s="19">
        <f t="shared" si="19"/>
        <v>193</v>
      </c>
      <c r="AQ18" s="19">
        <f t="shared" si="20"/>
        <v>431</v>
      </c>
      <c r="AR18" s="47">
        <f t="shared" si="21"/>
        <v>-83.0625</v>
      </c>
    </row>
    <row r="19" spans="1:46">
      <c r="A19" s="30">
        <f t="shared" si="0"/>
        <v>45826</v>
      </c>
      <c r="B19" s="31">
        <v>45826</v>
      </c>
      <c r="C19" s="32" t="s">
        <v>185</v>
      </c>
      <c r="D19" s="33">
        <v>0</v>
      </c>
      <c r="E19" s="35">
        <f t="shared" si="9"/>
        <v>2.0833333333333332E-2</v>
      </c>
      <c r="F19" s="34">
        <v>30</v>
      </c>
      <c r="G19" s="33">
        <v>0.16666666666666666</v>
      </c>
      <c r="H19" s="36">
        <f t="shared" si="10"/>
        <v>210</v>
      </c>
      <c r="I19" s="37">
        <f t="shared" si="11"/>
        <v>0.16458333333333333</v>
      </c>
      <c r="J19" s="4">
        <v>5</v>
      </c>
      <c r="K19" s="7"/>
      <c r="L19" s="130">
        <v>2.1527777777777781E-2</v>
      </c>
      <c r="M19" s="130">
        <v>3.125E-2</v>
      </c>
      <c r="N19" s="130">
        <v>0.16111111111111112</v>
      </c>
      <c r="O19" s="130">
        <v>0.16388888888888889</v>
      </c>
      <c r="P19" s="131">
        <v>3.3217699999999999</v>
      </c>
      <c r="Q19" t="s">
        <v>44</v>
      </c>
      <c r="R19" t="s">
        <v>44</v>
      </c>
      <c r="S19" t="s">
        <v>45</v>
      </c>
      <c r="T19" t="s">
        <v>45</v>
      </c>
      <c r="U19" s="7"/>
      <c r="V19" s="13">
        <f t="shared" si="12"/>
        <v>13.999999999999995</v>
      </c>
      <c r="W19" s="13">
        <f t="shared" si="12"/>
        <v>187.00000000000003</v>
      </c>
      <c r="X19" s="40">
        <f t="shared" si="13"/>
        <v>31.000000000000004</v>
      </c>
      <c r="Y19" s="4">
        <f t="shared" si="13"/>
        <v>15.000000000000002</v>
      </c>
      <c r="Z19" s="4">
        <f t="shared" si="1"/>
        <v>-7.9999999999999716</v>
      </c>
      <c r="AA19" s="4">
        <f t="shared" si="2"/>
        <v>8.0000000000000284</v>
      </c>
      <c r="AB19" s="4">
        <f t="shared" si="3"/>
        <v>-3.9999999999999858</v>
      </c>
      <c r="AC19" s="13">
        <f t="shared" si="4"/>
        <v>4</v>
      </c>
      <c r="AD19" s="15">
        <f t="shared" si="5"/>
        <v>38.999999999999972</v>
      </c>
      <c r="AG19" s="18">
        <v>0</v>
      </c>
      <c r="AH19" s="19">
        <f t="shared" si="6"/>
        <v>30</v>
      </c>
      <c r="AI19" s="19">
        <f t="shared" si="7"/>
        <v>240</v>
      </c>
      <c r="AJ19" s="20">
        <f t="shared" si="14"/>
        <v>21.000000000000004</v>
      </c>
      <c r="AK19" s="19">
        <f t="shared" si="15"/>
        <v>21.000000000000004</v>
      </c>
      <c r="AL19" s="19">
        <f t="shared" si="16"/>
        <v>45</v>
      </c>
      <c r="AM19" s="19">
        <f t="shared" si="17"/>
        <v>45</v>
      </c>
      <c r="AN19" s="19">
        <f>AM19+W19</f>
        <v>232.00000000000003</v>
      </c>
      <c r="AO19" s="19">
        <f t="shared" si="18"/>
        <v>166</v>
      </c>
      <c r="AP19" s="19">
        <f t="shared" si="19"/>
        <v>236.00000000000003</v>
      </c>
      <c r="AQ19" s="19">
        <f t="shared" si="20"/>
        <v>389</v>
      </c>
      <c r="AR19" s="47">
        <f t="shared" si="21"/>
        <v>-83.911500000000018</v>
      </c>
      <c r="AS19">
        <v>-225</v>
      </c>
      <c r="AT19">
        <v>-210</v>
      </c>
    </row>
    <row r="20" spans="1:46">
      <c r="A20" s="30">
        <f t="shared" si="0"/>
        <v>45827</v>
      </c>
      <c r="B20" s="31">
        <v>45827</v>
      </c>
      <c r="C20" s="32" t="s">
        <v>185</v>
      </c>
      <c r="D20" s="33">
        <v>0</v>
      </c>
      <c r="E20" s="35">
        <f t="shared" si="9"/>
        <v>2.0833333333333332E-2</v>
      </c>
      <c r="F20" s="34">
        <v>30</v>
      </c>
      <c r="G20" s="33">
        <v>0.16666666666666666</v>
      </c>
      <c r="H20" s="36">
        <f t="shared" si="10"/>
        <v>210</v>
      </c>
      <c r="I20" s="37">
        <f t="shared" si="11"/>
        <v>0.13958333333333331</v>
      </c>
      <c r="J20" s="4">
        <v>5</v>
      </c>
      <c r="K20" s="7"/>
      <c r="L20" s="130">
        <v>3.125E-2</v>
      </c>
      <c r="M20" s="130">
        <v>4.027777777777778E-2</v>
      </c>
      <c r="N20" s="130">
        <v>0.1361111111111111</v>
      </c>
      <c r="O20" s="130">
        <v>0.13958333333333334</v>
      </c>
      <c r="P20" s="131">
        <v>3.3370899999999999</v>
      </c>
      <c r="Q20" t="s">
        <v>45</v>
      </c>
      <c r="R20" t="s">
        <v>44</v>
      </c>
      <c r="S20" t="s">
        <v>45</v>
      </c>
      <c r="T20" t="s">
        <v>45</v>
      </c>
      <c r="U20" s="7"/>
      <c r="V20" s="13">
        <f t="shared" si="12"/>
        <v>13.000000000000004</v>
      </c>
      <c r="W20" s="13">
        <f t="shared" si="12"/>
        <v>138</v>
      </c>
      <c r="X20" s="40">
        <f t="shared" si="13"/>
        <v>45</v>
      </c>
      <c r="Y20" s="4">
        <f t="shared" si="13"/>
        <v>28.000000000000007</v>
      </c>
      <c r="Z20" s="4">
        <f t="shared" si="1"/>
        <v>-44</v>
      </c>
      <c r="AA20" s="4">
        <f t="shared" si="2"/>
        <v>-27</v>
      </c>
      <c r="AB20" s="4">
        <f t="shared" si="3"/>
        <v>-38.999999999999979</v>
      </c>
      <c r="AC20" s="13">
        <f t="shared" si="4"/>
        <v>5</v>
      </c>
      <c r="AD20" s="15">
        <f t="shared" si="5"/>
        <v>89</v>
      </c>
      <c r="AG20" s="18">
        <v>0</v>
      </c>
      <c r="AH20" s="19">
        <f t="shared" si="6"/>
        <v>30</v>
      </c>
      <c r="AI20" s="19">
        <f t="shared" si="7"/>
        <v>240</v>
      </c>
      <c r="AJ20" s="20">
        <f t="shared" si="14"/>
        <v>35</v>
      </c>
      <c r="AK20" s="19">
        <f>AJ20</f>
        <v>35</v>
      </c>
      <c r="AL20" s="19">
        <f t="shared" si="16"/>
        <v>58.000000000000007</v>
      </c>
      <c r="AM20" s="19">
        <f t="shared" si="17"/>
        <v>58.000000000000007</v>
      </c>
      <c r="AN20" s="19">
        <f>AM20+W20</f>
        <v>196</v>
      </c>
      <c r="AO20" s="19">
        <f t="shared" si="18"/>
        <v>148</v>
      </c>
      <c r="AP20" s="19">
        <f t="shared" si="19"/>
        <v>201</v>
      </c>
      <c r="AQ20" s="19">
        <f t="shared" si="20"/>
        <v>439</v>
      </c>
      <c r="AR20" s="47">
        <f t="shared" si="21"/>
        <v>-83.145499999999998</v>
      </c>
      <c r="AT20">
        <v>-210</v>
      </c>
    </row>
    <row r="21" spans="1:46">
      <c r="A21" s="30">
        <f t="shared" si="0"/>
        <v>45828</v>
      </c>
      <c r="B21" s="31">
        <v>45828</v>
      </c>
      <c r="C21" s="32" t="s">
        <v>185</v>
      </c>
      <c r="D21" s="33">
        <v>0</v>
      </c>
      <c r="E21" s="35">
        <f t="shared" si="9"/>
        <v>2.0833333333333332E-2</v>
      </c>
      <c r="F21" s="34">
        <v>30</v>
      </c>
      <c r="G21" s="33">
        <v>0.16666666666666666</v>
      </c>
      <c r="H21" s="36">
        <f t="shared" si="10"/>
        <v>210</v>
      </c>
      <c r="I21" s="37">
        <f t="shared" si="11"/>
        <v>0.13958333333333331</v>
      </c>
      <c r="J21" s="4">
        <v>5</v>
      </c>
      <c r="K21" s="7"/>
      <c r="L21" s="130">
        <v>2.8472222222222222E-2</v>
      </c>
      <c r="M21" s="130">
        <v>3.8194444444444441E-2</v>
      </c>
      <c r="N21" s="130">
        <v>0.1361111111111111</v>
      </c>
      <c r="O21" s="130">
        <v>0.1388888888888889</v>
      </c>
      <c r="P21" s="131">
        <v>3.3424</v>
      </c>
      <c r="Q21" t="s">
        <v>45</v>
      </c>
      <c r="R21" t="s">
        <v>44</v>
      </c>
      <c r="S21" t="s">
        <v>45</v>
      </c>
      <c r="T21" t="s">
        <v>45</v>
      </c>
      <c r="U21" s="7"/>
      <c r="V21" s="13">
        <f t="shared" si="12"/>
        <v>13.999999999999995</v>
      </c>
      <c r="W21" s="13">
        <f t="shared" si="12"/>
        <v>140.99999999999997</v>
      </c>
      <c r="X21" s="40">
        <f t="shared" si="13"/>
        <v>41</v>
      </c>
      <c r="Y21" s="4">
        <f t="shared" si="13"/>
        <v>24.999999999999996</v>
      </c>
      <c r="Z21" s="4">
        <f t="shared" si="1"/>
        <v>-44</v>
      </c>
      <c r="AA21" s="4">
        <f t="shared" si="2"/>
        <v>-28.000000000000028</v>
      </c>
      <c r="AB21" s="4">
        <f t="shared" si="3"/>
        <v>-39.999999999999979</v>
      </c>
      <c r="AC21" s="13">
        <f t="shared" si="4"/>
        <v>4</v>
      </c>
      <c r="AD21" s="15">
        <f t="shared" si="5"/>
        <v>85</v>
      </c>
      <c r="AG21" s="18">
        <v>0</v>
      </c>
      <c r="AH21" s="19">
        <f t="shared" si="6"/>
        <v>30</v>
      </c>
      <c r="AI21" s="19">
        <f t="shared" si="7"/>
        <v>240</v>
      </c>
      <c r="AJ21" s="20">
        <f t="shared" si="14"/>
        <v>31</v>
      </c>
      <c r="AK21" s="19">
        <f t="shared" ref="AK21:AK31" si="22">AJ21</f>
        <v>31</v>
      </c>
      <c r="AL21" s="19">
        <f t="shared" si="16"/>
        <v>55</v>
      </c>
      <c r="AM21" s="19">
        <f t="shared" si="17"/>
        <v>55</v>
      </c>
      <c r="AN21" s="19">
        <f t="shared" ref="AN21:AN31" si="23">AM21+W21</f>
        <v>195.99999999999997</v>
      </c>
      <c r="AO21" s="19">
        <f t="shared" si="18"/>
        <v>148</v>
      </c>
      <c r="AP21" s="19">
        <f t="shared" si="19"/>
        <v>199.99999999999997</v>
      </c>
      <c r="AQ21" s="19">
        <f t="shared" si="20"/>
        <v>435</v>
      </c>
      <c r="AR21" s="47">
        <f t="shared" si="21"/>
        <v>-82.88</v>
      </c>
      <c r="AT21">
        <v>-210</v>
      </c>
    </row>
    <row r="22" spans="1:46">
      <c r="A22" s="30">
        <f t="shared" si="0"/>
        <v>45829</v>
      </c>
      <c r="B22" s="31">
        <v>45829</v>
      </c>
      <c r="C22" s="32" t="s">
        <v>185</v>
      </c>
      <c r="D22" s="33">
        <v>0</v>
      </c>
      <c r="E22" s="35">
        <f t="shared" si="9"/>
        <v>2.0833333333333332E-2</v>
      </c>
      <c r="F22" s="34">
        <v>30</v>
      </c>
      <c r="G22" s="33">
        <v>0.16666666666666666</v>
      </c>
      <c r="H22" s="36">
        <f t="shared" si="10"/>
        <v>210</v>
      </c>
      <c r="I22" s="37">
        <f t="shared" si="11"/>
        <v>0.17569444444444446</v>
      </c>
      <c r="J22" s="4">
        <v>5</v>
      </c>
      <c r="K22" s="7"/>
      <c r="L22" s="130">
        <v>4.8611111111111112E-2</v>
      </c>
      <c r="M22" s="130">
        <v>5.486111111111111E-2</v>
      </c>
      <c r="N22" s="130">
        <v>0.17222222222222225</v>
      </c>
      <c r="O22" s="130">
        <v>0.17499999999999999</v>
      </c>
      <c r="P22" s="131">
        <v>3.3443999999999998</v>
      </c>
      <c r="Q22" t="s">
        <v>44</v>
      </c>
      <c r="R22" t="s">
        <v>45</v>
      </c>
      <c r="S22" t="s">
        <v>45</v>
      </c>
      <c r="T22" t="s">
        <v>45</v>
      </c>
      <c r="U22" s="7"/>
      <c r="V22" s="13">
        <f t="shared" si="12"/>
        <v>8.9999999999999982</v>
      </c>
      <c r="W22" s="13">
        <f t="shared" si="12"/>
        <v>169.00000000000003</v>
      </c>
      <c r="X22" s="40">
        <f t="shared" si="13"/>
        <v>70</v>
      </c>
      <c r="Y22" s="4">
        <f t="shared" si="13"/>
        <v>49.000000000000007</v>
      </c>
      <c r="Z22" s="4">
        <f t="shared" si="1"/>
        <v>8.0000000000000515</v>
      </c>
      <c r="AA22" s="4">
        <f t="shared" si="2"/>
        <v>29.000000000000028</v>
      </c>
      <c r="AB22" s="4">
        <f t="shared" si="3"/>
        <v>11.999999999999996</v>
      </c>
      <c r="AC22" s="13">
        <f t="shared" si="4"/>
        <v>4</v>
      </c>
      <c r="AD22" s="15">
        <f t="shared" si="5"/>
        <v>61.99999999999995</v>
      </c>
      <c r="AG22" s="18">
        <v>0</v>
      </c>
      <c r="AH22" s="19">
        <f t="shared" si="6"/>
        <v>30</v>
      </c>
      <c r="AI22" s="19">
        <f t="shared" si="7"/>
        <v>240</v>
      </c>
      <c r="AJ22" s="20">
        <f t="shared" si="14"/>
        <v>60</v>
      </c>
      <c r="AK22" s="19">
        <f t="shared" si="22"/>
        <v>60</v>
      </c>
      <c r="AL22" s="19">
        <f t="shared" si="16"/>
        <v>79</v>
      </c>
      <c r="AM22" s="19">
        <f t="shared" si="17"/>
        <v>79</v>
      </c>
      <c r="AN22" s="19">
        <f t="shared" si="23"/>
        <v>248.00000000000003</v>
      </c>
      <c r="AO22" s="19">
        <f t="shared" si="18"/>
        <v>174</v>
      </c>
      <c r="AP22" s="19">
        <f t="shared" si="19"/>
        <v>252.00000000000003</v>
      </c>
      <c r="AQ22" s="19">
        <f t="shared" si="20"/>
        <v>411.99999999999994</v>
      </c>
      <c r="AR22" s="47">
        <f t="shared" si="21"/>
        <v>-82.78</v>
      </c>
      <c r="AS22">
        <v>-225</v>
      </c>
    </row>
    <row r="23" spans="1:46">
      <c r="A23" s="30">
        <f t="shared" si="0"/>
        <v>45830</v>
      </c>
      <c r="B23" s="31">
        <v>45830</v>
      </c>
      <c r="C23" s="32" t="s">
        <v>185</v>
      </c>
      <c r="D23" s="33">
        <v>0</v>
      </c>
      <c r="E23" s="35">
        <f t="shared" si="9"/>
        <v>2.0833333333333332E-2</v>
      </c>
      <c r="F23" s="34">
        <v>30</v>
      </c>
      <c r="G23" s="33">
        <v>0.16666666666666666</v>
      </c>
      <c r="H23" s="36">
        <f t="shared" si="10"/>
        <v>210</v>
      </c>
      <c r="I23" s="37">
        <f t="shared" si="11"/>
        <v>0.14652777777777778</v>
      </c>
      <c r="J23" s="4">
        <v>5</v>
      </c>
      <c r="K23" s="7"/>
      <c r="L23" s="130">
        <v>3.1944444444444449E-2</v>
      </c>
      <c r="M23" s="130">
        <v>4.1666666666666664E-2</v>
      </c>
      <c r="N23" s="130">
        <v>0.14305555555555557</v>
      </c>
      <c r="O23" s="130">
        <v>0.14583333333333334</v>
      </c>
      <c r="P23" s="131">
        <v>3.33385</v>
      </c>
      <c r="Q23" t="s">
        <v>44</v>
      </c>
      <c r="R23" t="s">
        <v>45</v>
      </c>
      <c r="S23" t="s">
        <v>45</v>
      </c>
      <c r="T23" t="s">
        <v>45</v>
      </c>
      <c r="U23" s="7"/>
      <c r="V23" s="13">
        <f t="shared" si="12"/>
        <v>13.999999999999989</v>
      </c>
      <c r="W23" s="13">
        <f t="shared" si="12"/>
        <v>146.00000000000003</v>
      </c>
      <c r="X23" s="40">
        <f t="shared" si="13"/>
        <v>46.000000000000007</v>
      </c>
      <c r="Y23" s="4">
        <f t="shared" si="13"/>
        <v>30</v>
      </c>
      <c r="Z23" s="4">
        <f t="shared" si="1"/>
        <v>-33.999999999999957</v>
      </c>
      <c r="AA23" s="4">
        <f t="shared" si="2"/>
        <v>-17.999999999999972</v>
      </c>
      <c r="AB23" s="4">
        <f t="shared" si="3"/>
        <v>-29.999999999999972</v>
      </c>
      <c r="AC23" s="13">
        <f t="shared" si="4"/>
        <v>4</v>
      </c>
      <c r="AD23" s="15">
        <f t="shared" si="5"/>
        <v>79.999999999999972</v>
      </c>
      <c r="AG23" s="18">
        <v>0</v>
      </c>
      <c r="AH23" s="19">
        <f t="shared" si="6"/>
        <v>30</v>
      </c>
      <c r="AI23" s="19">
        <f t="shared" si="7"/>
        <v>240</v>
      </c>
      <c r="AJ23" s="20">
        <f t="shared" si="14"/>
        <v>36.000000000000007</v>
      </c>
      <c r="AK23" s="19">
        <f t="shared" si="22"/>
        <v>36.000000000000007</v>
      </c>
      <c r="AL23" s="19">
        <f t="shared" si="16"/>
        <v>60</v>
      </c>
      <c r="AM23" s="19">
        <f t="shared" si="17"/>
        <v>60</v>
      </c>
      <c r="AN23" s="19">
        <f t="shared" si="23"/>
        <v>206.00000000000003</v>
      </c>
      <c r="AO23" s="19">
        <f t="shared" si="18"/>
        <v>153</v>
      </c>
      <c r="AP23" s="19">
        <f t="shared" si="19"/>
        <v>210.00000000000003</v>
      </c>
      <c r="AQ23" s="19">
        <f t="shared" si="20"/>
        <v>430</v>
      </c>
      <c r="AR23" s="47">
        <f t="shared" si="21"/>
        <v>-83.307500000000005</v>
      </c>
      <c r="AS23">
        <v>-225</v>
      </c>
    </row>
    <row r="24" spans="1:46">
      <c r="A24" s="30">
        <f t="shared" si="0"/>
        <v>45831</v>
      </c>
      <c r="B24" s="31">
        <v>45831</v>
      </c>
      <c r="C24" s="32" t="s">
        <v>185</v>
      </c>
      <c r="D24" s="33">
        <v>0</v>
      </c>
      <c r="E24" s="35">
        <f t="shared" si="9"/>
        <v>2.0833333333333332E-2</v>
      </c>
      <c r="F24" s="34">
        <v>30</v>
      </c>
      <c r="G24" s="33">
        <v>0.16666666666666666</v>
      </c>
      <c r="H24" s="36">
        <f t="shared" si="10"/>
        <v>210</v>
      </c>
      <c r="I24" s="37">
        <f t="shared" si="11"/>
        <v>0.15</v>
      </c>
      <c r="J24" s="4">
        <v>5</v>
      </c>
      <c r="K24" s="7"/>
      <c r="L24" s="130">
        <v>3.5416666666666666E-2</v>
      </c>
      <c r="M24" s="130">
        <v>4.3055555555555562E-2</v>
      </c>
      <c r="N24" s="130">
        <v>0.14652777777777778</v>
      </c>
      <c r="O24" s="130">
        <v>0.14930555555555555</v>
      </c>
      <c r="P24" s="131">
        <v>3.3435000000000001</v>
      </c>
      <c r="Q24" t="s">
        <v>44</v>
      </c>
      <c r="R24" t="s">
        <v>45</v>
      </c>
      <c r="S24" t="s">
        <v>45</v>
      </c>
      <c r="T24" t="s">
        <v>45</v>
      </c>
      <c r="U24" s="7"/>
      <c r="V24" s="13">
        <f t="shared" si="12"/>
        <v>11.000000000000011</v>
      </c>
      <c r="W24" s="13">
        <f t="shared" si="12"/>
        <v>149</v>
      </c>
      <c r="X24" s="40">
        <f t="shared" si="13"/>
        <v>51</v>
      </c>
      <c r="Y24" s="4">
        <f t="shared" si="13"/>
        <v>32.000000000000014</v>
      </c>
      <c r="Z24" s="4">
        <f t="shared" si="1"/>
        <v>-28.999999999999979</v>
      </c>
      <c r="AA24" s="4">
        <f t="shared" si="2"/>
        <v>-10</v>
      </c>
      <c r="AB24" s="4">
        <f t="shared" si="3"/>
        <v>-24.999999999999993</v>
      </c>
      <c r="AC24" s="13">
        <f t="shared" si="4"/>
        <v>4</v>
      </c>
      <c r="AD24" s="15">
        <f t="shared" si="5"/>
        <v>79.999999999999972</v>
      </c>
      <c r="AG24" s="18">
        <v>0</v>
      </c>
      <c r="AH24" s="19">
        <f t="shared" si="6"/>
        <v>30</v>
      </c>
      <c r="AI24" s="19">
        <f t="shared" si="7"/>
        <v>240</v>
      </c>
      <c r="AJ24" s="20">
        <f t="shared" si="14"/>
        <v>41</v>
      </c>
      <c r="AK24" s="19">
        <f t="shared" si="22"/>
        <v>41</v>
      </c>
      <c r="AL24" s="19">
        <f t="shared" si="16"/>
        <v>62.000000000000014</v>
      </c>
      <c r="AM24" s="19">
        <f t="shared" si="17"/>
        <v>62.000000000000014</v>
      </c>
      <c r="AN24" s="19">
        <f t="shared" si="23"/>
        <v>211</v>
      </c>
      <c r="AO24" s="19">
        <f t="shared" si="18"/>
        <v>155.5</v>
      </c>
      <c r="AP24" s="19">
        <f t="shared" si="19"/>
        <v>215</v>
      </c>
      <c r="AQ24" s="19">
        <f t="shared" si="20"/>
        <v>430</v>
      </c>
      <c r="AR24" s="47">
        <f t="shared" si="21"/>
        <v>-82.824999999999989</v>
      </c>
      <c r="AS24">
        <v>-225</v>
      </c>
    </row>
    <row r="25" spans="1:46">
      <c r="A25" s="30">
        <f t="shared" si="0"/>
        <v>45832</v>
      </c>
      <c r="B25" s="31">
        <v>45832</v>
      </c>
      <c r="C25" s="32" t="s">
        <v>185</v>
      </c>
      <c r="D25" s="33">
        <v>0</v>
      </c>
      <c r="E25" s="35">
        <f t="shared" si="9"/>
        <v>2.0833333333333332E-2</v>
      </c>
      <c r="F25" s="34">
        <v>30</v>
      </c>
      <c r="G25" s="33">
        <v>0.16666666666666666</v>
      </c>
      <c r="H25" s="36">
        <f t="shared" si="10"/>
        <v>210</v>
      </c>
      <c r="I25" s="37">
        <f t="shared" si="11"/>
        <v>0.15763888888888888</v>
      </c>
      <c r="J25" s="4">
        <v>5</v>
      </c>
      <c r="K25" s="7"/>
      <c r="L25" s="130">
        <v>3.888888888888889E-2</v>
      </c>
      <c r="M25" s="130">
        <v>4.6527777777777779E-2</v>
      </c>
      <c r="N25" s="130">
        <v>0.15416666666666667</v>
      </c>
      <c r="O25" s="130">
        <v>0.15694444444444444</v>
      </c>
      <c r="P25" s="131">
        <v>3.3354300000000001</v>
      </c>
      <c r="Q25" t="s">
        <v>45</v>
      </c>
      <c r="R25" t="s">
        <v>44</v>
      </c>
      <c r="S25" t="s">
        <v>45</v>
      </c>
      <c r="T25" t="s">
        <v>45</v>
      </c>
      <c r="U25" s="7"/>
      <c r="V25" s="13">
        <f t="shared" si="12"/>
        <v>11</v>
      </c>
      <c r="W25" s="13">
        <f t="shared" si="12"/>
        <v>155</v>
      </c>
      <c r="X25" s="40">
        <f t="shared" si="13"/>
        <v>56</v>
      </c>
      <c r="Y25" s="4">
        <f t="shared" si="13"/>
        <v>37</v>
      </c>
      <c r="Z25" s="4">
        <f t="shared" si="1"/>
        <v>-17.999999999999975</v>
      </c>
      <c r="AA25" s="4">
        <f t="shared" si="2"/>
        <v>1</v>
      </c>
      <c r="AB25" s="4">
        <f t="shared" si="3"/>
        <v>-13.999999999999989</v>
      </c>
      <c r="AC25" s="13">
        <f t="shared" si="4"/>
        <v>4</v>
      </c>
      <c r="AD25" s="15">
        <f t="shared" si="5"/>
        <v>73.999999999999972</v>
      </c>
      <c r="AG25" s="18">
        <v>0</v>
      </c>
      <c r="AH25" s="19">
        <f t="shared" si="6"/>
        <v>30</v>
      </c>
      <c r="AI25" s="19">
        <f t="shared" si="7"/>
        <v>240</v>
      </c>
      <c r="AJ25" s="20">
        <f t="shared" si="14"/>
        <v>46</v>
      </c>
      <c r="AK25" s="19">
        <f t="shared" si="22"/>
        <v>46</v>
      </c>
      <c r="AL25" s="19">
        <f t="shared" si="16"/>
        <v>67</v>
      </c>
      <c r="AM25" s="19">
        <f t="shared" si="17"/>
        <v>67</v>
      </c>
      <c r="AN25" s="19">
        <f t="shared" si="23"/>
        <v>222</v>
      </c>
      <c r="AO25" s="19">
        <f t="shared" si="18"/>
        <v>161</v>
      </c>
      <c r="AP25" s="19">
        <f t="shared" si="19"/>
        <v>226</v>
      </c>
      <c r="AQ25" s="19">
        <f t="shared" si="20"/>
        <v>424</v>
      </c>
      <c r="AR25" s="47">
        <f t="shared" si="21"/>
        <v>-83.228499999999997</v>
      </c>
      <c r="AT25">
        <v>-210</v>
      </c>
    </row>
    <row r="26" spans="1:46">
      <c r="A26" s="30">
        <f t="shared" si="0"/>
        <v>45833</v>
      </c>
      <c r="B26" s="31">
        <v>45833</v>
      </c>
      <c r="C26" s="32" t="s">
        <v>185</v>
      </c>
      <c r="D26" s="33">
        <v>0</v>
      </c>
      <c r="E26" s="35">
        <f t="shared" si="9"/>
        <v>2.0833333333333332E-2</v>
      </c>
      <c r="F26" s="34">
        <v>30</v>
      </c>
      <c r="G26" s="33">
        <v>0.16666666666666666</v>
      </c>
      <c r="H26" s="36">
        <f t="shared" si="10"/>
        <v>210</v>
      </c>
      <c r="I26" s="37">
        <f t="shared" si="11"/>
        <v>0.14097222222222219</v>
      </c>
      <c r="J26" s="4">
        <v>5</v>
      </c>
      <c r="K26" s="7"/>
      <c r="L26" s="134">
        <v>2.6388888888888889E-2</v>
      </c>
      <c r="M26" s="130">
        <v>4.1666666666666664E-2</v>
      </c>
      <c r="N26" s="130">
        <v>0.13749999999999998</v>
      </c>
      <c r="O26" s="130">
        <v>0.14027777777777778</v>
      </c>
      <c r="P26" s="131">
        <v>3.3172799999999998</v>
      </c>
      <c r="Q26" t="s">
        <v>45</v>
      </c>
      <c r="R26" t="s">
        <v>44</v>
      </c>
      <c r="S26" t="s">
        <v>45</v>
      </c>
      <c r="T26" t="s">
        <v>45</v>
      </c>
      <c r="U26" s="7"/>
      <c r="V26" s="13">
        <f t="shared" si="12"/>
        <v>21.999999999999996</v>
      </c>
      <c r="W26" s="13">
        <f t="shared" si="12"/>
        <v>138</v>
      </c>
      <c r="X26" s="40">
        <f t="shared" si="13"/>
        <v>38</v>
      </c>
      <c r="Y26" s="4">
        <f t="shared" si="13"/>
        <v>30</v>
      </c>
      <c r="Z26" s="4">
        <f t="shared" si="1"/>
        <v>-42.000000000000014</v>
      </c>
      <c r="AA26" s="4">
        <f t="shared" si="2"/>
        <v>-34</v>
      </c>
      <c r="AB26" s="4">
        <f t="shared" si="3"/>
        <v>-37.999999999999986</v>
      </c>
      <c r="AC26" s="13">
        <f t="shared" si="4"/>
        <v>4</v>
      </c>
      <c r="AD26" s="15">
        <f t="shared" si="5"/>
        <v>80.000000000000014</v>
      </c>
      <c r="AG26" s="18">
        <v>0</v>
      </c>
      <c r="AH26" s="19">
        <f t="shared" si="6"/>
        <v>30</v>
      </c>
      <c r="AI26" s="19">
        <f t="shared" si="7"/>
        <v>240</v>
      </c>
      <c r="AJ26" s="20">
        <f t="shared" si="14"/>
        <v>28</v>
      </c>
      <c r="AK26" s="19">
        <f t="shared" si="22"/>
        <v>28</v>
      </c>
      <c r="AL26" s="19">
        <f t="shared" si="16"/>
        <v>60</v>
      </c>
      <c r="AM26" s="19">
        <f t="shared" si="17"/>
        <v>60</v>
      </c>
      <c r="AN26" s="19">
        <f t="shared" si="23"/>
        <v>198</v>
      </c>
      <c r="AO26" s="19">
        <f t="shared" si="18"/>
        <v>149</v>
      </c>
      <c r="AP26" s="19">
        <f t="shared" si="19"/>
        <v>202</v>
      </c>
      <c r="AQ26" s="19">
        <f t="shared" si="20"/>
        <v>430</v>
      </c>
      <c r="AR26" s="47">
        <f t="shared" si="21"/>
        <v>-84.136000000000024</v>
      </c>
      <c r="AT26">
        <v>-210</v>
      </c>
    </row>
    <row r="27" spans="1:46">
      <c r="A27" s="30">
        <f t="shared" si="0"/>
        <v>45834</v>
      </c>
      <c r="B27" s="31">
        <v>45834</v>
      </c>
      <c r="C27" s="32" t="s">
        <v>185</v>
      </c>
      <c r="D27" s="33">
        <v>0</v>
      </c>
      <c r="E27" s="35">
        <f t="shared" si="9"/>
        <v>2.0833333333333332E-2</v>
      </c>
      <c r="F27" s="34">
        <v>30</v>
      </c>
      <c r="G27" s="33">
        <v>0.16666666666666666</v>
      </c>
      <c r="H27" s="36">
        <f t="shared" si="10"/>
        <v>210</v>
      </c>
      <c r="I27" s="37">
        <f t="shared" si="11"/>
        <v>0.16805555555555554</v>
      </c>
      <c r="J27" s="4">
        <v>5</v>
      </c>
      <c r="K27" s="7"/>
      <c r="L27" s="130">
        <v>4.3750000000000004E-2</v>
      </c>
      <c r="M27" s="130">
        <v>5.2777777777777778E-2</v>
      </c>
      <c r="N27" s="130">
        <v>0.16458333333333333</v>
      </c>
      <c r="O27" s="130">
        <v>0.1673611111111111</v>
      </c>
      <c r="P27" s="131">
        <v>3.33432</v>
      </c>
      <c r="Q27" t="s">
        <v>45</v>
      </c>
      <c r="R27" t="s">
        <v>44</v>
      </c>
      <c r="S27" t="s">
        <v>45</v>
      </c>
      <c r="T27" t="s">
        <v>45</v>
      </c>
      <c r="U27" s="7"/>
      <c r="V27" s="13">
        <f t="shared" si="12"/>
        <v>12.999999999999993</v>
      </c>
      <c r="W27" s="13">
        <f t="shared" si="12"/>
        <v>161</v>
      </c>
      <c r="X27" s="40">
        <f t="shared" si="13"/>
        <v>63.000000000000007</v>
      </c>
      <c r="Y27" s="4">
        <f t="shared" si="13"/>
        <v>46</v>
      </c>
      <c r="Z27" s="4">
        <f t="shared" si="1"/>
        <v>-2.9999999999999893</v>
      </c>
      <c r="AA27" s="4">
        <f t="shared" si="2"/>
        <v>14</v>
      </c>
      <c r="AB27" s="4">
        <f t="shared" si="3"/>
        <v>0.99999999999999645</v>
      </c>
      <c r="AC27" s="13">
        <f t="shared" si="4"/>
        <v>4</v>
      </c>
      <c r="AD27" s="15">
        <f t="shared" si="5"/>
        <v>66</v>
      </c>
      <c r="AG27" s="18">
        <v>0</v>
      </c>
      <c r="AH27" s="19">
        <f t="shared" si="6"/>
        <v>30</v>
      </c>
      <c r="AI27" s="19">
        <f t="shared" si="7"/>
        <v>240</v>
      </c>
      <c r="AJ27" s="20">
        <f t="shared" si="14"/>
        <v>53.000000000000007</v>
      </c>
      <c r="AK27" s="19">
        <f t="shared" si="22"/>
        <v>53.000000000000007</v>
      </c>
      <c r="AL27" s="19">
        <f t="shared" si="16"/>
        <v>76</v>
      </c>
      <c r="AM27" s="19">
        <f t="shared" si="17"/>
        <v>76</v>
      </c>
      <c r="AN27" s="19">
        <f t="shared" si="23"/>
        <v>237</v>
      </c>
      <c r="AO27" s="19">
        <f t="shared" si="18"/>
        <v>168.5</v>
      </c>
      <c r="AP27" s="19">
        <f t="shared" si="19"/>
        <v>241</v>
      </c>
      <c r="AQ27" s="19">
        <f t="shared" si="20"/>
        <v>416</v>
      </c>
      <c r="AR27" s="47">
        <f t="shared" si="21"/>
        <v>-83.283999999999992</v>
      </c>
      <c r="AT27">
        <v>-210</v>
      </c>
    </row>
    <row r="28" spans="1:46">
      <c r="A28" s="30">
        <f t="shared" si="0"/>
        <v>45835</v>
      </c>
      <c r="B28" s="31">
        <v>45835</v>
      </c>
      <c r="C28" s="32" t="s">
        <v>185</v>
      </c>
      <c r="D28" s="33">
        <v>0</v>
      </c>
      <c r="E28" s="35">
        <f t="shared" si="9"/>
        <v>2.0833333333333332E-2</v>
      </c>
      <c r="F28" s="34">
        <v>30</v>
      </c>
      <c r="G28" s="33">
        <v>0.16666666666666666</v>
      </c>
      <c r="H28" s="36">
        <f t="shared" si="10"/>
        <v>210</v>
      </c>
      <c r="I28" s="37">
        <f t="shared" si="11"/>
        <v>0.14652777777777776</v>
      </c>
      <c r="J28" s="4">
        <v>5</v>
      </c>
      <c r="K28" s="7"/>
      <c r="L28" s="134">
        <v>3.0555555555555555E-2</v>
      </c>
      <c r="M28" s="130">
        <v>3.888888888888889E-2</v>
      </c>
      <c r="N28" s="130">
        <v>0.14305555555555555</v>
      </c>
      <c r="O28" s="130">
        <v>0.14583333333333334</v>
      </c>
      <c r="P28" s="131">
        <v>3.33921</v>
      </c>
      <c r="Q28" t="s">
        <v>45</v>
      </c>
      <c r="R28" t="s">
        <v>44</v>
      </c>
      <c r="S28" t="s">
        <v>45</v>
      </c>
      <c r="T28" t="s">
        <v>45</v>
      </c>
      <c r="U28" s="7"/>
      <c r="V28" s="13">
        <f t="shared" si="12"/>
        <v>12.000000000000002</v>
      </c>
      <c r="W28" s="13">
        <f t="shared" si="12"/>
        <v>150</v>
      </c>
      <c r="X28" s="40">
        <f t="shared" si="13"/>
        <v>44</v>
      </c>
      <c r="Y28" s="4">
        <f t="shared" si="13"/>
        <v>26.000000000000004</v>
      </c>
      <c r="Z28" s="4">
        <f t="shared" si="1"/>
        <v>-34</v>
      </c>
      <c r="AA28" s="4">
        <f t="shared" si="2"/>
        <v>-16</v>
      </c>
      <c r="AB28" s="4">
        <f t="shared" si="3"/>
        <v>-29.999999999999972</v>
      </c>
      <c r="AC28" s="13">
        <f t="shared" si="4"/>
        <v>4</v>
      </c>
      <c r="AD28" s="15">
        <f t="shared" si="5"/>
        <v>78</v>
      </c>
      <c r="AG28" s="18">
        <v>0</v>
      </c>
      <c r="AH28" s="19">
        <f t="shared" si="6"/>
        <v>30</v>
      </c>
      <c r="AI28" s="19">
        <f t="shared" si="7"/>
        <v>240</v>
      </c>
      <c r="AJ28" s="20">
        <f t="shared" si="14"/>
        <v>34</v>
      </c>
      <c r="AK28" s="19">
        <f t="shared" si="22"/>
        <v>34</v>
      </c>
      <c r="AL28" s="19">
        <f t="shared" si="16"/>
        <v>56</v>
      </c>
      <c r="AM28" s="19">
        <f t="shared" si="17"/>
        <v>56</v>
      </c>
      <c r="AN28" s="19">
        <f t="shared" si="23"/>
        <v>206</v>
      </c>
      <c r="AO28" s="19">
        <f t="shared" si="18"/>
        <v>153</v>
      </c>
      <c r="AP28" s="19">
        <f t="shared" si="19"/>
        <v>210</v>
      </c>
      <c r="AQ28" s="19">
        <f t="shared" si="20"/>
        <v>428</v>
      </c>
      <c r="AR28" s="47">
        <f t="shared" si="21"/>
        <v>-83.039500000000004</v>
      </c>
      <c r="AT28">
        <v>-210</v>
      </c>
    </row>
    <row r="29" spans="1:46">
      <c r="A29" s="30">
        <f t="shared" si="0"/>
        <v>45836</v>
      </c>
      <c r="B29" s="31">
        <v>45836</v>
      </c>
      <c r="C29" s="32" t="s">
        <v>185</v>
      </c>
      <c r="D29" s="33">
        <v>0</v>
      </c>
      <c r="E29" s="35">
        <f t="shared" si="9"/>
        <v>2.0833333333333332E-2</v>
      </c>
      <c r="F29" s="34">
        <v>30</v>
      </c>
      <c r="G29" s="33">
        <v>0.16666666666666666</v>
      </c>
      <c r="H29" s="36">
        <f t="shared" si="10"/>
        <v>210</v>
      </c>
      <c r="I29" s="37">
        <f t="shared" si="11"/>
        <v>0.17083333333333331</v>
      </c>
      <c r="J29" s="4">
        <v>5</v>
      </c>
      <c r="K29" s="7"/>
      <c r="L29" s="130">
        <v>4.8611111111111112E-2</v>
      </c>
      <c r="M29" s="130">
        <v>5.9722222222222225E-2</v>
      </c>
      <c r="N29" s="130">
        <v>0.1673611111111111</v>
      </c>
      <c r="O29" s="130">
        <v>0.1701388888888889</v>
      </c>
      <c r="P29" s="131">
        <v>3.3408600000000002</v>
      </c>
      <c r="Q29" t="s">
        <v>44</v>
      </c>
      <c r="R29" t="s">
        <v>45</v>
      </c>
      <c r="S29" t="s">
        <v>45</v>
      </c>
      <c r="T29" t="s">
        <v>45</v>
      </c>
      <c r="U29" s="7"/>
      <c r="V29" s="13">
        <f t="shared" si="12"/>
        <v>16.000000000000004</v>
      </c>
      <c r="W29" s="13">
        <f t="shared" si="12"/>
        <v>154.99999999999997</v>
      </c>
      <c r="X29" s="40">
        <f t="shared" si="13"/>
        <v>70</v>
      </c>
      <c r="Y29" s="4">
        <f t="shared" si="13"/>
        <v>56</v>
      </c>
      <c r="Z29" s="4">
        <f t="shared" si="1"/>
        <v>0.99999999999999645</v>
      </c>
      <c r="AA29" s="4">
        <f t="shared" si="2"/>
        <v>14.999999999999972</v>
      </c>
      <c r="AB29" s="4">
        <f t="shared" si="3"/>
        <v>5.0000000000000222</v>
      </c>
      <c r="AC29" s="13">
        <f t="shared" si="4"/>
        <v>4</v>
      </c>
      <c r="AD29" s="15">
        <f t="shared" si="5"/>
        <v>69</v>
      </c>
      <c r="AG29" s="18">
        <v>0</v>
      </c>
      <c r="AH29" s="19">
        <f t="shared" si="6"/>
        <v>30</v>
      </c>
      <c r="AI29" s="19">
        <f t="shared" si="7"/>
        <v>240</v>
      </c>
      <c r="AJ29" s="20">
        <f t="shared" si="14"/>
        <v>60</v>
      </c>
      <c r="AK29" s="19">
        <f t="shared" si="22"/>
        <v>60</v>
      </c>
      <c r="AL29" s="19">
        <f t="shared" si="16"/>
        <v>86</v>
      </c>
      <c r="AM29" s="19">
        <f t="shared" si="17"/>
        <v>86</v>
      </c>
      <c r="AN29" s="19">
        <f t="shared" si="23"/>
        <v>240.99999999999997</v>
      </c>
      <c r="AO29" s="19">
        <f t="shared" si="18"/>
        <v>170.5</v>
      </c>
      <c r="AP29" s="19">
        <f t="shared" si="19"/>
        <v>244.99999999999997</v>
      </c>
      <c r="AQ29" s="19">
        <f t="shared" si="20"/>
        <v>419</v>
      </c>
      <c r="AR29" s="47">
        <f t="shared" si="21"/>
        <v>-82.956999999999994</v>
      </c>
      <c r="AS29">
        <v>-225</v>
      </c>
    </row>
    <row r="30" spans="1:46">
      <c r="A30" s="30">
        <f t="shared" si="0"/>
        <v>45837</v>
      </c>
      <c r="B30" s="31">
        <v>45837</v>
      </c>
      <c r="C30" s="32" t="s">
        <v>185</v>
      </c>
      <c r="D30" s="33">
        <v>0</v>
      </c>
      <c r="E30" s="35">
        <f t="shared" si="9"/>
        <v>2.0833333333333332E-2</v>
      </c>
      <c r="F30" s="34">
        <v>30</v>
      </c>
      <c r="G30" s="33">
        <v>0.16666666666666666</v>
      </c>
      <c r="H30" s="36">
        <f t="shared" si="10"/>
        <v>210</v>
      </c>
      <c r="I30" s="37">
        <f t="shared" si="11"/>
        <v>0.14861111111111111</v>
      </c>
      <c r="J30" s="4">
        <v>5</v>
      </c>
      <c r="K30" s="7"/>
      <c r="L30" s="133">
        <v>4.0972222222222222E-2</v>
      </c>
      <c r="M30" s="132">
        <v>4.9999999999999996E-2</v>
      </c>
      <c r="N30" s="133">
        <v>0.1451388888888889</v>
      </c>
      <c r="O30" s="130">
        <v>0.14791666666666667</v>
      </c>
      <c r="P30" s="131">
        <v>3.3322699999999998</v>
      </c>
      <c r="Q30" t="s">
        <v>45</v>
      </c>
      <c r="R30" t="s">
        <v>45</v>
      </c>
      <c r="S30" t="s">
        <v>45</v>
      </c>
      <c r="T30" t="s">
        <v>45</v>
      </c>
      <c r="U30" s="7"/>
      <c r="V30" s="13">
        <f t="shared" si="12"/>
        <v>12.999999999999993</v>
      </c>
      <c r="W30" s="13">
        <f t="shared" si="12"/>
        <v>137.00000000000003</v>
      </c>
      <c r="X30" s="40">
        <f t="shared" si="13"/>
        <v>59</v>
      </c>
      <c r="Y30" s="4">
        <f t="shared" si="13"/>
        <v>41.999999999999993</v>
      </c>
      <c r="Z30" s="4">
        <f t="shared" si="1"/>
        <v>-30.999999999999972</v>
      </c>
      <c r="AA30" s="4">
        <f t="shared" si="2"/>
        <v>-13.999999999999972</v>
      </c>
      <c r="AB30" s="4">
        <f t="shared" si="3"/>
        <v>-26.999999999999986</v>
      </c>
      <c r="AC30" s="13">
        <f t="shared" si="4"/>
        <v>4</v>
      </c>
      <c r="AD30" s="15">
        <f t="shared" si="5"/>
        <v>89.999999999999972</v>
      </c>
      <c r="AG30" s="18">
        <v>0</v>
      </c>
      <c r="AH30" s="19">
        <f t="shared" si="6"/>
        <v>30</v>
      </c>
      <c r="AI30" s="19">
        <f t="shared" si="7"/>
        <v>240</v>
      </c>
      <c r="AJ30" s="20">
        <f t="shared" si="14"/>
        <v>49</v>
      </c>
      <c r="AK30" s="19">
        <f t="shared" si="22"/>
        <v>49</v>
      </c>
      <c r="AL30" s="19">
        <f t="shared" si="16"/>
        <v>72</v>
      </c>
      <c r="AM30" s="19">
        <f t="shared" si="17"/>
        <v>72</v>
      </c>
      <c r="AN30" s="19">
        <f t="shared" si="23"/>
        <v>209.00000000000003</v>
      </c>
      <c r="AO30" s="19">
        <f t="shared" si="18"/>
        <v>154.5</v>
      </c>
      <c r="AP30" s="19">
        <f t="shared" si="19"/>
        <v>213.00000000000003</v>
      </c>
      <c r="AQ30" s="19">
        <f t="shared" si="20"/>
        <v>440</v>
      </c>
      <c r="AR30" s="47">
        <f t="shared" si="21"/>
        <v>-83.386500000000012</v>
      </c>
    </row>
    <row r="31" spans="1:46">
      <c r="A31" s="30">
        <f t="shared" si="0"/>
        <v>45838</v>
      </c>
      <c r="B31" s="31">
        <v>45838</v>
      </c>
      <c r="C31" s="32" t="s">
        <v>185</v>
      </c>
      <c r="D31" s="33">
        <v>0</v>
      </c>
      <c r="E31" s="35">
        <f t="shared" si="9"/>
        <v>2.0833333333333332E-2</v>
      </c>
      <c r="F31" s="34">
        <v>30</v>
      </c>
      <c r="G31" s="33">
        <v>0.16666666666666666</v>
      </c>
      <c r="H31" s="36">
        <f t="shared" si="10"/>
        <v>210</v>
      </c>
      <c r="I31" s="37">
        <f t="shared" si="11"/>
        <v>0.1534722222222222</v>
      </c>
      <c r="J31" s="4">
        <v>5</v>
      </c>
      <c r="K31" s="7"/>
      <c r="L31" s="132">
        <v>4.1666666666666664E-2</v>
      </c>
      <c r="M31" s="130">
        <v>5.347222222222222E-2</v>
      </c>
      <c r="N31" s="132">
        <v>0.15</v>
      </c>
      <c r="O31" s="130">
        <v>0.15277777777777779</v>
      </c>
      <c r="P31" s="131">
        <v>3.3400599999999998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2"/>
        <v>17</v>
      </c>
      <c r="W31" s="13">
        <f t="shared" si="12"/>
        <v>139</v>
      </c>
      <c r="X31" s="40">
        <f t="shared" si="13"/>
        <v>60</v>
      </c>
      <c r="Y31" s="4">
        <f t="shared" si="13"/>
        <v>46.999999999999993</v>
      </c>
      <c r="Z31" s="4">
        <f t="shared" si="1"/>
        <v>-23.999999999999993</v>
      </c>
      <c r="AA31" s="4">
        <f t="shared" si="2"/>
        <v>-11</v>
      </c>
      <c r="AB31" s="4">
        <f t="shared" si="3"/>
        <v>-19.999999999999968</v>
      </c>
      <c r="AC31" s="13">
        <f t="shared" si="4"/>
        <v>4</v>
      </c>
      <c r="AD31" s="15">
        <f t="shared" si="5"/>
        <v>84</v>
      </c>
      <c r="AG31" s="18">
        <v>0</v>
      </c>
      <c r="AH31" s="19">
        <f t="shared" si="6"/>
        <v>30</v>
      </c>
      <c r="AI31" s="19">
        <f t="shared" si="7"/>
        <v>240</v>
      </c>
      <c r="AJ31" s="20">
        <f t="shared" si="14"/>
        <v>50</v>
      </c>
      <c r="AK31" s="19">
        <f t="shared" si="22"/>
        <v>50</v>
      </c>
      <c r="AL31" s="19">
        <f t="shared" si="16"/>
        <v>77</v>
      </c>
      <c r="AM31" s="19">
        <f t="shared" si="17"/>
        <v>77</v>
      </c>
      <c r="AN31" s="19">
        <f t="shared" si="23"/>
        <v>216</v>
      </c>
      <c r="AO31" s="19">
        <f t="shared" si="18"/>
        <v>158</v>
      </c>
      <c r="AP31" s="19">
        <f t="shared" si="19"/>
        <v>220</v>
      </c>
      <c r="AQ31" s="19">
        <f t="shared" si="20"/>
        <v>434</v>
      </c>
      <c r="AR31" s="47">
        <f t="shared" si="21"/>
        <v>-82.997000000000014</v>
      </c>
    </row>
    <row r="32" spans="1:46">
      <c r="L32" s="5">
        <f>AVERAGE(L2:L31)</f>
        <v>3.3749999999999995E-2</v>
      </c>
      <c r="M32" s="5">
        <f>AVERAGE(M2:M31)</f>
        <v>4.4375000000000005E-2</v>
      </c>
      <c r="N32" s="5">
        <f>AVERAGE(N2:N31)</f>
        <v>0.1525</v>
      </c>
      <c r="O32" s="135">
        <f>AVERAGE(O2:O31)</f>
        <v>0.1553009259259259</v>
      </c>
      <c r="P32" s="48">
        <f>AVERAGE(P2:P31)</f>
        <v>3.3547109999999996</v>
      </c>
      <c r="Q32" s="48"/>
      <c r="R32" s="48"/>
      <c r="S32" s="48"/>
      <c r="T32" s="48"/>
      <c r="V32" s="16">
        <f>AVERAGE(V2:V31)</f>
        <v>15.3</v>
      </c>
      <c r="W32" s="14">
        <f>AVERAGE(W2:W31)</f>
        <v>155.69999999999999</v>
      </c>
      <c r="X32" s="16">
        <f>AVERAGE(X2:X31)</f>
        <v>48.6</v>
      </c>
      <c r="AD32" s="14">
        <f>AVERAGE(AD2:AD31)</f>
        <v>69</v>
      </c>
    </row>
    <row r="33" spans="4:43">
      <c r="O33" s="2"/>
      <c r="AG33" s="150" t="s">
        <v>30</v>
      </c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</row>
    <row r="35" spans="4:43">
      <c r="D35" s="2"/>
    </row>
    <row r="36" spans="4:43">
      <c r="D36" s="2"/>
    </row>
    <row r="37" spans="4:43">
      <c r="D37" s="2"/>
    </row>
    <row r="38" spans="4:43">
      <c r="D38" s="2"/>
    </row>
    <row r="39" spans="4:43">
      <c r="D39" s="2"/>
    </row>
    <row r="40" spans="4:43">
      <c r="D40" s="2"/>
    </row>
    <row r="41" spans="4:43">
      <c r="D41" s="2"/>
    </row>
    <row r="42" spans="4:43">
      <c r="D42" s="2"/>
    </row>
    <row r="43" spans="4:43">
      <c r="D43" s="2"/>
    </row>
    <row r="44" spans="4:43">
      <c r="D44" s="2"/>
    </row>
    <row r="45" spans="4:43">
      <c r="D45" s="2"/>
    </row>
    <row r="46" spans="4:43">
      <c r="D46" s="2"/>
    </row>
    <row r="47" spans="4:43">
      <c r="D47" s="2"/>
    </row>
  </sheetData>
  <autoFilter ref="B1:Z1" xr:uid="{00000000-0001-0000-0000-000000000000}"/>
  <mergeCells count="1">
    <mergeCell ref="AG33:AQ33"/>
  </mergeCells>
  <conditionalFormatting sqref="P2:T32">
    <cfRule type="cellIs" dxfId="14" priority="1" operator="lessThanOrEqual">
      <formula>0</formula>
    </cfRule>
  </conditionalFormatting>
  <conditionalFormatting sqref="V2:V31">
    <cfRule type="cellIs" dxfId="13" priority="7" operator="greaterThan">
      <formula>$F$2</formula>
    </cfRule>
    <cfRule type="cellIs" dxfId="12" priority="8" operator="lessThanOrEqual">
      <formula>$F$2</formula>
    </cfRule>
  </conditionalFormatting>
  <conditionalFormatting sqref="V32">
    <cfRule type="cellIs" dxfId="11" priority="2" operator="lessThanOrEqual">
      <formula>0</formula>
    </cfRule>
  </conditionalFormatting>
  <conditionalFormatting sqref="W2:W31">
    <cfRule type="cellIs" dxfId="10" priority="5" operator="greaterThan">
      <formula>$H$2</formula>
    </cfRule>
    <cfRule type="cellIs" dxfId="9" priority="6" operator="lessThanOrEqual">
      <formula>$H$2</formula>
    </cfRule>
  </conditionalFormatting>
  <conditionalFormatting sqref="AC2:AC31">
    <cfRule type="cellIs" dxfId="8" priority="3" operator="greaterThan">
      <formula>5</formula>
    </cfRule>
  </conditionalFormatting>
  <conditionalFormatting sqref="AD2:AD31">
    <cfRule type="cellIs" dxfId="7" priority="4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060C-1E7E-45DA-BE70-F904ED9D2213}">
  <sheetPr filterMode="1"/>
  <dimension ref="A1:AV48"/>
  <sheetViews>
    <sheetView showGridLines="0" topLeftCell="Y1" workbookViewId="0">
      <pane ySplit="1" topLeftCell="A27" activePane="bottomLeft" state="frozen"/>
      <selection pane="bottomLeft" activeCell="AD2" sqref="AD2:AD31"/>
    </sheetView>
  </sheetViews>
  <sheetFormatPr defaultColWidth="10.26953125" defaultRowHeight="14.5"/>
  <cols>
    <col min="1" max="1" width="10.26953125" style="1"/>
    <col min="2" max="2" width="10.7265625" style="1" customWidth="1"/>
    <col min="3" max="3" width="11.7265625" customWidth="1"/>
    <col min="4" max="4" width="9" customWidth="1"/>
    <col min="5" max="5" width="9.1796875" customWidth="1"/>
    <col min="6" max="6" width="10" customWidth="1"/>
    <col min="8" max="8" width="9" customWidth="1"/>
    <col min="9" max="9" width="9.1796875" customWidth="1"/>
    <col min="10" max="10" width="10.54296875" customWidth="1"/>
    <col min="11" max="11" width="3.54296875" customWidth="1"/>
    <col min="15" max="15" width="11.26953125" customWidth="1"/>
    <col min="16" max="20" width="11.1796875" customWidth="1"/>
    <col min="21" max="21" width="3.54296875" customWidth="1"/>
    <col min="22" max="24" width="11.1796875" customWidth="1"/>
    <col min="25" max="25" width="13.26953125" customWidth="1"/>
    <col min="26" max="30" width="11.1796875" customWidth="1"/>
    <col min="31" max="32" width="4" customWidth="1"/>
    <col min="47" max="47" width="9.1796875" customWidth="1"/>
  </cols>
  <sheetData>
    <row r="1" spans="1:48" ht="72.75" customHeight="1">
      <c r="A1" s="3" t="s">
        <v>3</v>
      </c>
      <c r="B1" s="10" t="s">
        <v>4</v>
      </c>
      <c r="C1" s="8" t="s">
        <v>0</v>
      </c>
      <c r="D1" s="8" t="s">
        <v>1</v>
      </c>
      <c r="E1" s="11" t="s">
        <v>6</v>
      </c>
      <c r="F1" s="8" t="s">
        <v>10</v>
      </c>
      <c r="G1" s="8" t="s">
        <v>7</v>
      </c>
      <c r="H1" s="11" t="s">
        <v>9</v>
      </c>
      <c r="I1" s="11" t="s">
        <v>8</v>
      </c>
      <c r="J1" s="8" t="s">
        <v>11</v>
      </c>
      <c r="K1" s="6"/>
      <c r="L1" s="12" t="s">
        <v>2</v>
      </c>
      <c r="M1" s="8" t="s">
        <v>5</v>
      </c>
      <c r="N1" s="8" t="s">
        <v>13</v>
      </c>
      <c r="O1" s="8" t="s">
        <v>12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6"/>
      <c r="V1" s="8" t="s">
        <v>14</v>
      </c>
      <c r="W1" s="9" t="s">
        <v>15</v>
      </c>
      <c r="X1" s="8" t="s">
        <v>17</v>
      </c>
      <c r="Y1" s="8" t="s">
        <v>18</v>
      </c>
      <c r="Z1" s="8" t="s">
        <v>16</v>
      </c>
      <c r="AA1" s="8" t="s">
        <v>21</v>
      </c>
      <c r="AB1" s="8" t="s">
        <v>19</v>
      </c>
      <c r="AC1" s="8" t="s">
        <v>20</v>
      </c>
      <c r="AD1" s="9" t="s">
        <v>28</v>
      </c>
      <c r="AG1" s="42" t="s">
        <v>1</v>
      </c>
      <c r="AH1" s="43" t="s">
        <v>22</v>
      </c>
      <c r="AI1" s="43" t="s">
        <v>23</v>
      </c>
      <c r="AJ1" s="43" t="s">
        <v>2</v>
      </c>
      <c r="AK1" s="43" t="s">
        <v>38</v>
      </c>
      <c r="AL1" s="43" t="s">
        <v>39</v>
      </c>
      <c r="AM1" s="43" t="s">
        <v>24</v>
      </c>
      <c r="AN1" s="43" t="s">
        <v>25</v>
      </c>
      <c r="AO1" s="43" t="s">
        <v>26</v>
      </c>
      <c r="AP1" s="17" t="s">
        <v>27</v>
      </c>
      <c r="AQ1" s="17" t="s">
        <v>29</v>
      </c>
      <c r="AR1" s="9" t="s">
        <v>33</v>
      </c>
      <c r="AS1" t="s">
        <v>34</v>
      </c>
      <c r="AT1" t="s">
        <v>40</v>
      </c>
      <c r="AU1" s="44" t="s">
        <v>41</v>
      </c>
      <c r="AV1" s="44" t="s">
        <v>42</v>
      </c>
    </row>
    <row r="2" spans="1:48">
      <c r="A2" s="30">
        <f t="shared" ref="A2:A32" si="0">B2</f>
        <v>45809</v>
      </c>
      <c r="B2" s="31">
        <v>45809</v>
      </c>
      <c r="C2" s="32" t="s">
        <v>186</v>
      </c>
      <c r="D2" s="33">
        <v>0</v>
      </c>
      <c r="E2" s="35">
        <f>(D2+(TIME(0,F2,0)))</f>
        <v>2.0833333333333332E-2</v>
      </c>
      <c r="F2" s="34">
        <v>30</v>
      </c>
      <c r="G2" s="33">
        <v>0.10416666666666667</v>
      </c>
      <c r="H2" s="36">
        <f>((G2-D2)*1440)-F2</f>
        <v>120</v>
      </c>
      <c r="I2" s="37">
        <f>(N2+(TIME(0,J2,0)))</f>
        <v>8.5416666666666669E-2</v>
      </c>
      <c r="J2" s="4">
        <v>30</v>
      </c>
      <c r="K2" s="7"/>
      <c r="L2" s="38">
        <v>2.7083333333333334E-2</v>
      </c>
      <c r="M2" s="39">
        <v>4.5138888888888888E-2</v>
      </c>
      <c r="N2" s="33">
        <v>6.458333333333334E-2</v>
      </c>
      <c r="O2" s="33">
        <v>8.0555555555555561E-2</v>
      </c>
      <c r="P2" s="47">
        <v>0.11</v>
      </c>
      <c r="Q2" t="s">
        <v>45</v>
      </c>
      <c r="R2" t="s">
        <v>45</v>
      </c>
      <c r="S2" t="s">
        <v>44</v>
      </c>
      <c r="T2" t="s">
        <v>45</v>
      </c>
      <c r="U2" s="7"/>
      <c r="V2" s="13">
        <f>((M2-L2)*1440)</f>
        <v>25.999999999999996</v>
      </c>
      <c r="W2" s="13">
        <f>((N2-M2)*1440)</f>
        <v>28.000000000000011</v>
      </c>
      <c r="X2" s="40">
        <f>((L2-D2)*1440)</f>
        <v>39</v>
      </c>
      <c r="Y2" s="4">
        <f>((M2-E2)*1440)</f>
        <v>35</v>
      </c>
      <c r="Z2" s="4">
        <f t="shared" ref="Z2:Z33" si="1">((N2-G2)*1440)</f>
        <v>-57</v>
      </c>
      <c r="AA2" s="4">
        <f t="shared" ref="AA2:AA33" si="2">W2-(H2-X2)</f>
        <v>-52.999999999999986</v>
      </c>
      <c r="AB2" s="4">
        <f t="shared" ref="AB2:AB33" si="3">((O2-G2)*1440)</f>
        <v>-34</v>
      </c>
      <c r="AC2" s="13">
        <f t="shared" ref="AC2:AC33" si="4">ROUND((O2-N2)*1440,0)</f>
        <v>23</v>
      </c>
      <c r="AD2" s="15">
        <f t="shared" ref="AD2:AD32" si="5">(Z2*-1)+X2</f>
        <v>96</v>
      </c>
      <c r="AG2" s="18">
        <v>0</v>
      </c>
      <c r="AH2" s="19">
        <f t="shared" ref="AH2:AH33" si="6">AG2+F2</f>
        <v>30</v>
      </c>
      <c r="AI2" s="19">
        <f t="shared" ref="AI2:AI33" si="7">AG2+H2+AH2</f>
        <v>150</v>
      </c>
      <c r="AJ2" s="20">
        <f>AG2+X2-10</f>
        <v>29</v>
      </c>
      <c r="AK2" s="19">
        <f>AJ2</f>
        <v>29</v>
      </c>
      <c r="AL2" s="19">
        <f>AM2</f>
        <v>65</v>
      </c>
      <c r="AM2" s="19">
        <f>AH2+Y2</f>
        <v>65</v>
      </c>
      <c r="AN2" s="19">
        <f t="shared" ref="AN2:AN16" si="8">AM2+W2</f>
        <v>93.000000000000014</v>
      </c>
      <c r="AO2" s="19">
        <f>(AN2/2)+50</f>
        <v>96.5</v>
      </c>
      <c r="AP2" s="19">
        <f>AN2+AC2</f>
        <v>116.00000000000001</v>
      </c>
      <c r="AQ2" s="19">
        <f>AD2+200</f>
        <v>296</v>
      </c>
      <c r="AR2" s="47">
        <f>(P2*50)-75</f>
        <v>-69.5</v>
      </c>
      <c r="AS2">
        <f t="shared" ref="AS2:AS31" si="9">IF(Q2="Yes",-225,0)</f>
        <v>0</v>
      </c>
      <c r="AU2">
        <f>IF(S2="Yes",-195,0)</f>
        <v>-195</v>
      </c>
    </row>
    <row r="3" spans="1:48">
      <c r="A3" s="30">
        <f t="shared" si="0"/>
        <v>45810</v>
      </c>
      <c r="B3" s="31">
        <v>45810</v>
      </c>
      <c r="C3" s="32" t="s">
        <v>186</v>
      </c>
      <c r="D3" s="33">
        <v>0</v>
      </c>
      <c r="E3" s="35">
        <f t="shared" ref="E3:E32" si="10">(D3+(TIME(0,F3,0)))</f>
        <v>2.0833333333333332E-2</v>
      </c>
      <c r="F3" s="34">
        <v>30</v>
      </c>
      <c r="G3" s="33">
        <v>0.10416666666666667</v>
      </c>
      <c r="H3" s="36">
        <f t="shared" ref="H3:H32" si="11">((G3-D3)*1440)-F3</f>
        <v>120</v>
      </c>
      <c r="I3" s="37"/>
      <c r="J3" s="4">
        <v>30</v>
      </c>
      <c r="K3" s="7"/>
      <c r="L3" s="38">
        <v>2.361111111111111E-2</v>
      </c>
      <c r="M3" s="39">
        <v>4.5138888888888888E-2</v>
      </c>
      <c r="N3" s="33">
        <v>6.458333333333334E-2</v>
      </c>
      <c r="O3" s="33">
        <v>8.3333333333333329E-2</v>
      </c>
      <c r="P3" s="47">
        <v>0.11</v>
      </c>
      <c r="Q3" t="s">
        <v>45</v>
      </c>
      <c r="R3" t="s">
        <v>45</v>
      </c>
      <c r="S3" t="s">
        <v>45</v>
      </c>
      <c r="T3" t="s">
        <v>45</v>
      </c>
      <c r="U3" s="7"/>
      <c r="V3" s="13">
        <f>((M3-L3)*1440)</f>
        <v>31</v>
      </c>
      <c r="W3" s="13">
        <f>((N3-M3)*1440)</f>
        <v>28.000000000000011</v>
      </c>
      <c r="X3" s="40">
        <f>((L3-D3)*1440)</f>
        <v>34</v>
      </c>
      <c r="Y3" s="4">
        <f>((M3-E3)*1440)</f>
        <v>35</v>
      </c>
      <c r="Z3" s="4">
        <f t="shared" si="1"/>
        <v>-57</v>
      </c>
      <c r="AA3" s="4">
        <f t="shared" si="2"/>
        <v>-57.999999999999986</v>
      </c>
      <c r="AB3" s="4">
        <f t="shared" si="3"/>
        <v>-30.000000000000014</v>
      </c>
      <c r="AC3" s="13">
        <f t="shared" si="4"/>
        <v>27</v>
      </c>
      <c r="AD3" s="15">
        <f t="shared" si="5"/>
        <v>91</v>
      </c>
      <c r="AG3" s="18">
        <v>0</v>
      </c>
      <c r="AH3" s="19">
        <f t="shared" si="6"/>
        <v>30</v>
      </c>
      <c r="AI3" s="19">
        <f t="shared" si="7"/>
        <v>150</v>
      </c>
      <c r="AJ3" s="20">
        <f>AG3+X3-10</f>
        <v>24</v>
      </c>
      <c r="AK3" s="19">
        <f>AJ3</f>
        <v>24</v>
      </c>
      <c r="AL3" s="19">
        <f>AM3</f>
        <v>65</v>
      </c>
      <c r="AM3" s="19">
        <f>AH3+Y3</f>
        <v>65</v>
      </c>
      <c r="AN3" s="19">
        <f t="shared" si="8"/>
        <v>93.000000000000014</v>
      </c>
      <c r="AO3" s="19">
        <f>(AN3/2)+50</f>
        <v>96.5</v>
      </c>
      <c r="AP3" s="19">
        <f>AN3+AC3</f>
        <v>120.00000000000001</v>
      </c>
      <c r="AQ3" s="19">
        <f>AD3+200</f>
        <v>291</v>
      </c>
      <c r="AR3" s="47">
        <f>(P3*50)-75</f>
        <v>-69.5</v>
      </c>
    </row>
    <row r="4" spans="1:48">
      <c r="A4" s="30">
        <f t="shared" si="0"/>
        <v>45811</v>
      </c>
      <c r="B4" s="31">
        <v>45811</v>
      </c>
      <c r="C4" s="32" t="s">
        <v>186</v>
      </c>
      <c r="D4" s="33">
        <v>0</v>
      </c>
      <c r="E4" s="35">
        <f t="shared" si="10"/>
        <v>2.0833333333333332E-2</v>
      </c>
      <c r="F4" s="34">
        <v>30</v>
      </c>
      <c r="G4" s="33">
        <v>0.10416666666666667</v>
      </c>
      <c r="H4" s="36">
        <f t="shared" si="11"/>
        <v>120</v>
      </c>
      <c r="I4" s="37">
        <f t="shared" ref="I4:I33" si="12">(N4+(TIME(0,J4,0)))</f>
        <v>0.10763888888888888</v>
      </c>
      <c r="J4" s="4">
        <v>30</v>
      </c>
      <c r="K4" s="7"/>
      <c r="L4" s="38">
        <v>4.8611111111111112E-2</v>
      </c>
      <c r="M4" s="39">
        <v>6.25E-2</v>
      </c>
      <c r="N4" s="33">
        <v>8.6805555555555552E-2</v>
      </c>
      <c r="O4" s="33">
        <v>0.1076388888888889</v>
      </c>
      <c r="P4" s="47">
        <v>0.1</v>
      </c>
      <c r="Q4" t="s">
        <v>45</v>
      </c>
      <c r="R4" t="s">
        <v>45</v>
      </c>
      <c r="S4" t="s">
        <v>45</v>
      </c>
      <c r="T4" t="s">
        <v>45</v>
      </c>
      <c r="U4" s="7"/>
      <c r="V4" s="13">
        <f t="shared" ref="V4:W32" si="13">((M4-L4)*1440)</f>
        <v>20</v>
      </c>
      <c r="W4" s="13">
        <f t="shared" si="13"/>
        <v>34.999999999999993</v>
      </c>
      <c r="X4" s="40">
        <f t="shared" ref="X4:Y32" si="14">((L4-D4)*1440)</f>
        <v>70</v>
      </c>
      <c r="Y4" s="4">
        <f t="shared" si="14"/>
        <v>60.000000000000007</v>
      </c>
      <c r="Z4" s="4">
        <f t="shared" si="1"/>
        <v>-25.000000000000011</v>
      </c>
      <c r="AA4" s="4">
        <f t="shared" si="2"/>
        <v>-15.000000000000007</v>
      </c>
      <c r="AB4" s="4">
        <f t="shared" si="3"/>
        <v>5.0000000000000018</v>
      </c>
      <c r="AC4" s="13">
        <f t="shared" si="4"/>
        <v>30</v>
      </c>
      <c r="AD4" s="15">
        <f t="shared" si="5"/>
        <v>95.000000000000014</v>
      </c>
      <c r="AG4" s="18">
        <v>0</v>
      </c>
      <c r="AH4" s="19">
        <f t="shared" si="6"/>
        <v>30</v>
      </c>
      <c r="AI4" s="19">
        <f t="shared" si="7"/>
        <v>150</v>
      </c>
      <c r="AJ4" s="20">
        <f t="shared" ref="AJ4:AJ33" si="15">AG4+X4-10</f>
        <v>60</v>
      </c>
      <c r="AK4" s="19">
        <f t="shared" ref="AK4:AK33" si="16">AJ4</f>
        <v>60</v>
      </c>
      <c r="AL4" s="19">
        <f t="shared" ref="AL4:AL33" si="17">AM4</f>
        <v>90</v>
      </c>
      <c r="AM4" s="19">
        <f t="shared" ref="AM4:AM33" si="18">AH4+Y4</f>
        <v>90</v>
      </c>
      <c r="AN4" s="19">
        <f t="shared" si="8"/>
        <v>125</v>
      </c>
      <c r="AO4" s="19">
        <f t="shared" ref="AO4:AO33" si="19">(AN4/2)+50</f>
        <v>112.5</v>
      </c>
      <c r="AP4" s="19">
        <f t="shared" ref="AP4:AP33" si="20">AN4+AC4</f>
        <v>155</v>
      </c>
      <c r="AQ4" s="19">
        <f t="shared" ref="AQ4:AQ31" si="21">AD4+200</f>
        <v>295</v>
      </c>
      <c r="AR4" s="47">
        <f t="shared" ref="AR4:AR33" si="22">(P4*50)-75</f>
        <v>-70</v>
      </c>
    </row>
    <row r="5" spans="1:48">
      <c r="A5" s="30">
        <f t="shared" si="0"/>
        <v>45812</v>
      </c>
      <c r="B5" s="31">
        <v>45812</v>
      </c>
      <c r="C5" s="32" t="s">
        <v>186</v>
      </c>
      <c r="D5" s="33">
        <v>0</v>
      </c>
      <c r="E5" s="35">
        <f t="shared" si="10"/>
        <v>2.0833333333333332E-2</v>
      </c>
      <c r="F5" s="34">
        <v>30</v>
      </c>
      <c r="G5" s="33">
        <v>0.10416666666666667</v>
      </c>
      <c r="H5" s="36">
        <f t="shared" si="11"/>
        <v>120</v>
      </c>
      <c r="I5" s="37">
        <f t="shared" si="12"/>
        <v>0.10763888888888888</v>
      </c>
      <c r="J5" s="4">
        <v>30</v>
      </c>
      <c r="K5" s="7"/>
      <c r="L5" s="38">
        <v>4.4444444444444446E-2</v>
      </c>
      <c r="M5" s="39">
        <v>6.25E-2</v>
      </c>
      <c r="N5" s="33">
        <v>8.6805555555555552E-2</v>
      </c>
      <c r="O5" s="33">
        <v>0.10069444444444445</v>
      </c>
      <c r="P5" s="47">
        <v>0.11</v>
      </c>
      <c r="Q5" t="s">
        <v>45</v>
      </c>
      <c r="R5" t="s">
        <v>45</v>
      </c>
      <c r="S5" t="s">
        <v>45</v>
      </c>
      <c r="T5" t="s">
        <v>45</v>
      </c>
      <c r="U5" s="7"/>
      <c r="V5" s="13">
        <f t="shared" si="13"/>
        <v>25.999999999999996</v>
      </c>
      <c r="W5" s="13">
        <f t="shared" si="13"/>
        <v>34.999999999999993</v>
      </c>
      <c r="X5" s="40">
        <f t="shared" si="14"/>
        <v>64</v>
      </c>
      <c r="Y5" s="4">
        <f t="shared" si="14"/>
        <v>60.000000000000007</v>
      </c>
      <c r="Z5" s="4">
        <f t="shared" si="1"/>
        <v>-25.000000000000011</v>
      </c>
      <c r="AA5" s="4">
        <f t="shared" si="2"/>
        <v>-21.000000000000007</v>
      </c>
      <c r="AB5" s="4">
        <f t="shared" si="3"/>
        <v>-5.0000000000000018</v>
      </c>
      <c r="AC5" s="13">
        <f t="shared" si="4"/>
        <v>20</v>
      </c>
      <c r="AD5" s="15">
        <f t="shared" si="5"/>
        <v>89.000000000000014</v>
      </c>
      <c r="AG5" s="18">
        <v>0</v>
      </c>
      <c r="AH5" s="19">
        <f t="shared" si="6"/>
        <v>30</v>
      </c>
      <c r="AI5" s="19">
        <f t="shared" si="7"/>
        <v>150</v>
      </c>
      <c r="AJ5" s="20">
        <f t="shared" si="15"/>
        <v>54</v>
      </c>
      <c r="AK5" s="19">
        <f t="shared" si="16"/>
        <v>54</v>
      </c>
      <c r="AL5" s="19">
        <f t="shared" si="17"/>
        <v>90</v>
      </c>
      <c r="AM5" s="19">
        <f t="shared" si="18"/>
        <v>90</v>
      </c>
      <c r="AN5" s="19">
        <f t="shared" si="8"/>
        <v>125</v>
      </c>
      <c r="AO5" s="19">
        <f t="shared" si="19"/>
        <v>112.5</v>
      </c>
      <c r="AP5" s="19">
        <f t="shared" si="20"/>
        <v>145</v>
      </c>
      <c r="AQ5" s="19">
        <f t="shared" si="21"/>
        <v>289</v>
      </c>
      <c r="AR5" s="47">
        <f t="shared" si="22"/>
        <v>-69.5</v>
      </c>
      <c r="AS5">
        <f t="shared" si="9"/>
        <v>0</v>
      </c>
    </row>
    <row r="6" spans="1:48">
      <c r="A6" s="30">
        <f t="shared" si="0"/>
        <v>45813</v>
      </c>
      <c r="B6" s="31">
        <v>45813</v>
      </c>
      <c r="C6" s="32" t="s">
        <v>186</v>
      </c>
      <c r="D6" s="33">
        <v>0</v>
      </c>
      <c r="E6" s="35">
        <f t="shared" si="10"/>
        <v>2.0833333333333332E-2</v>
      </c>
      <c r="F6" s="34">
        <v>30</v>
      </c>
      <c r="G6" s="33">
        <v>0.10416666666666667</v>
      </c>
      <c r="H6" s="36">
        <f t="shared" si="11"/>
        <v>120</v>
      </c>
      <c r="I6" s="37">
        <f t="shared" si="12"/>
        <v>8.6805555555555552E-2</v>
      </c>
      <c r="J6" s="4">
        <v>30</v>
      </c>
      <c r="K6" s="7"/>
      <c r="L6" s="38">
        <v>3.0555555555555555E-2</v>
      </c>
      <c r="M6" s="39">
        <v>4.8611111111111112E-2</v>
      </c>
      <c r="N6" s="33">
        <v>6.5972222222222224E-2</v>
      </c>
      <c r="O6" s="33">
        <v>8.6805555555555552E-2</v>
      </c>
      <c r="P6" s="47">
        <v>0.11</v>
      </c>
      <c r="Q6" t="s">
        <v>45</v>
      </c>
      <c r="R6" t="s">
        <v>45</v>
      </c>
      <c r="S6" t="s">
        <v>45</v>
      </c>
      <c r="T6" t="s">
        <v>45</v>
      </c>
      <c r="U6" s="7"/>
      <c r="V6" s="13">
        <f t="shared" si="13"/>
        <v>26.000000000000004</v>
      </c>
      <c r="W6" s="13">
        <f t="shared" si="13"/>
        <v>25</v>
      </c>
      <c r="X6" s="40">
        <f t="shared" si="14"/>
        <v>44</v>
      </c>
      <c r="Y6" s="4">
        <f t="shared" si="14"/>
        <v>40</v>
      </c>
      <c r="Z6" s="4">
        <f t="shared" si="1"/>
        <v>-55.000000000000007</v>
      </c>
      <c r="AA6" s="4">
        <f t="shared" si="2"/>
        <v>-51</v>
      </c>
      <c r="AB6" s="4">
        <f t="shared" si="3"/>
        <v>-25.000000000000011</v>
      </c>
      <c r="AC6" s="13">
        <f t="shared" si="4"/>
        <v>30</v>
      </c>
      <c r="AD6" s="15">
        <f t="shared" si="5"/>
        <v>99</v>
      </c>
      <c r="AG6" s="18">
        <v>0</v>
      </c>
      <c r="AH6" s="19">
        <f t="shared" si="6"/>
        <v>30</v>
      </c>
      <c r="AI6" s="19">
        <f t="shared" si="7"/>
        <v>150</v>
      </c>
      <c r="AJ6" s="20">
        <f t="shared" si="15"/>
        <v>34</v>
      </c>
      <c r="AK6" s="19">
        <f t="shared" si="16"/>
        <v>34</v>
      </c>
      <c r="AL6" s="19">
        <f t="shared" si="17"/>
        <v>70</v>
      </c>
      <c r="AM6" s="19">
        <f t="shared" si="18"/>
        <v>70</v>
      </c>
      <c r="AN6" s="19">
        <f t="shared" si="8"/>
        <v>95</v>
      </c>
      <c r="AO6" s="19">
        <f t="shared" si="19"/>
        <v>97.5</v>
      </c>
      <c r="AP6" s="19">
        <f t="shared" si="20"/>
        <v>125</v>
      </c>
      <c r="AQ6" s="19">
        <f t="shared" si="21"/>
        <v>299</v>
      </c>
      <c r="AR6" s="47">
        <f t="shared" si="22"/>
        <v>-69.5</v>
      </c>
      <c r="AS6">
        <f t="shared" si="9"/>
        <v>0</v>
      </c>
      <c r="AT6">
        <f t="shared" ref="AT6:AT20" si="23">IF(R6="Yes",-210,0)</f>
        <v>0</v>
      </c>
    </row>
    <row r="7" spans="1:48">
      <c r="A7" s="30">
        <f t="shared" si="0"/>
        <v>45814</v>
      </c>
      <c r="B7" s="31">
        <v>45814</v>
      </c>
      <c r="C7" s="32" t="s">
        <v>186</v>
      </c>
      <c r="D7" s="33">
        <v>0</v>
      </c>
      <c r="E7" s="35">
        <f t="shared" si="10"/>
        <v>2.0833333333333332E-2</v>
      </c>
      <c r="F7" s="34">
        <v>30</v>
      </c>
      <c r="G7" s="33">
        <v>0.10416666666666667</v>
      </c>
      <c r="H7" s="36">
        <f t="shared" si="11"/>
        <v>120</v>
      </c>
      <c r="I7" s="37">
        <f t="shared" si="12"/>
        <v>8.5416666666666669E-2</v>
      </c>
      <c r="J7" s="4">
        <v>30</v>
      </c>
      <c r="K7" s="7"/>
      <c r="L7" s="38">
        <v>2.9861111111111113E-2</v>
      </c>
      <c r="M7" s="39">
        <v>4.5138888888888888E-2</v>
      </c>
      <c r="N7" s="33">
        <v>6.458333333333334E-2</v>
      </c>
      <c r="O7" s="33">
        <v>8.1944444444444445E-2</v>
      </c>
      <c r="P7" s="47">
        <v>0.12</v>
      </c>
      <c r="Q7" t="s">
        <v>45</v>
      </c>
      <c r="R7" t="s">
        <v>45</v>
      </c>
      <c r="S7" t="s">
        <v>45</v>
      </c>
      <c r="T7" t="s">
        <v>45</v>
      </c>
      <c r="U7" s="7"/>
      <c r="V7" s="13">
        <f t="shared" si="13"/>
        <v>21.999999999999996</v>
      </c>
      <c r="W7" s="13">
        <f t="shared" si="13"/>
        <v>28.000000000000011</v>
      </c>
      <c r="X7" s="40">
        <f t="shared" si="14"/>
        <v>43</v>
      </c>
      <c r="Y7" s="4">
        <f t="shared" si="14"/>
        <v>35</v>
      </c>
      <c r="Z7" s="4">
        <f t="shared" si="1"/>
        <v>-57</v>
      </c>
      <c r="AA7" s="4">
        <f t="shared" si="2"/>
        <v>-48.999999999999986</v>
      </c>
      <c r="AB7" s="4">
        <f t="shared" si="3"/>
        <v>-32.000000000000007</v>
      </c>
      <c r="AC7" s="13">
        <f t="shared" si="4"/>
        <v>25</v>
      </c>
      <c r="AD7" s="15">
        <f t="shared" si="5"/>
        <v>100</v>
      </c>
      <c r="AG7" s="18">
        <v>0</v>
      </c>
      <c r="AH7" s="19">
        <f t="shared" si="6"/>
        <v>30</v>
      </c>
      <c r="AI7" s="19">
        <f t="shared" si="7"/>
        <v>150</v>
      </c>
      <c r="AJ7" s="20">
        <f t="shared" si="15"/>
        <v>33</v>
      </c>
      <c r="AK7" s="19">
        <f t="shared" si="16"/>
        <v>33</v>
      </c>
      <c r="AL7" s="19">
        <f t="shared" si="17"/>
        <v>65</v>
      </c>
      <c r="AM7" s="19">
        <f t="shared" si="18"/>
        <v>65</v>
      </c>
      <c r="AN7" s="19">
        <f t="shared" si="8"/>
        <v>93.000000000000014</v>
      </c>
      <c r="AO7" s="19">
        <f t="shared" si="19"/>
        <v>96.5</v>
      </c>
      <c r="AP7" s="19">
        <f t="shared" si="20"/>
        <v>118.00000000000001</v>
      </c>
      <c r="AQ7" s="19">
        <f t="shared" si="21"/>
        <v>300</v>
      </c>
      <c r="AR7" s="47">
        <f t="shared" si="22"/>
        <v>-69</v>
      </c>
    </row>
    <row r="8" spans="1:48">
      <c r="A8" s="30">
        <f t="shared" si="0"/>
        <v>45815</v>
      </c>
      <c r="B8" s="31">
        <v>45815</v>
      </c>
      <c r="C8" s="32" t="s">
        <v>186</v>
      </c>
      <c r="D8" s="33">
        <v>0</v>
      </c>
      <c r="E8" s="35">
        <f t="shared" si="10"/>
        <v>2.0833333333333332E-2</v>
      </c>
      <c r="F8" s="34">
        <v>30</v>
      </c>
      <c r="G8" s="33">
        <v>0.10416666666666667</v>
      </c>
      <c r="H8" s="36">
        <f t="shared" si="11"/>
        <v>120</v>
      </c>
      <c r="I8" s="37">
        <f t="shared" si="12"/>
        <v>7.8472222222222221E-2</v>
      </c>
      <c r="J8" s="4">
        <v>30</v>
      </c>
      <c r="K8" s="7"/>
      <c r="L8" s="38">
        <v>2.4305555555555556E-2</v>
      </c>
      <c r="M8" s="39">
        <v>3.8194444444444448E-2</v>
      </c>
      <c r="N8" s="33">
        <v>5.7638888888888892E-2</v>
      </c>
      <c r="O8" s="33">
        <v>7.9861111111111105E-2</v>
      </c>
      <c r="P8" s="47">
        <v>0.11</v>
      </c>
      <c r="Q8" t="s">
        <v>45</v>
      </c>
      <c r="R8" t="s">
        <v>45</v>
      </c>
      <c r="S8" t="s">
        <v>45</v>
      </c>
      <c r="T8" t="s">
        <v>45</v>
      </c>
      <c r="U8" s="7"/>
      <c r="V8" s="13">
        <f t="shared" si="13"/>
        <v>20.000000000000004</v>
      </c>
      <c r="W8" s="13">
        <f t="shared" si="13"/>
        <v>28</v>
      </c>
      <c r="X8" s="40">
        <f t="shared" si="14"/>
        <v>35</v>
      </c>
      <c r="Y8" s="4">
        <f t="shared" si="14"/>
        <v>25.000000000000007</v>
      </c>
      <c r="Z8" s="4">
        <f t="shared" si="1"/>
        <v>-67</v>
      </c>
      <c r="AA8" s="4">
        <f t="shared" si="2"/>
        <v>-57</v>
      </c>
      <c r="AB8" s="4">
        <f t="shared" si="3"/>
        <v>-35.000000000000014</v>
      </c>
      <c r="AC8" s="13">
        <f t="shared" si="4"/>
        <v>32</v>
      </c>
      <c r="AD8" s="15">
        <f t="shared" si="5"/>
        <v>102</v>
      </c>
      <c r="AG8" s="18">
        <v>0</v>
      </c>
      <c r="AH8" s="19">
        <f t="shared" si="6"/>
        <v>30</v>
      </c>
      <c r="AI8" s="19">
        <f t="shared" si="7"/>
        <v>150</v>
      </c>
      <c r="AJ8" s="20">
        <f t="shared" si="15"/>
        <v>25</v>
      </c>
      <c r="AK8" s="19">
        <f t="shared" si="16"/>
        <v>25</v>
      </c>
      <c r="AL8" s="19">
        <f t="shared" si="17"/>
        <v>55.000000000000007</v>
      </c>
      <c r="AM8" s="19">
        <f t="shared" si="18"/>
        <v>55.000000000000007</v>
      </c>
      <c r="AN8" s="19">
        <f t="shared" si="8"/>
        <v>83</v>
      </c>
      <c r="AO8" s="19">
        <f t="shared" si="19"/>
        <v>91.5</v>
      </c>
      <c r="AP8" s="19">
        <f t="shared" si="20"/>
        <v>115</v>
      </c>
      <c r="AQ8" s="19">
        <f t="shared" si="21"/>
        <v>302</v>
      </c>
      <c r="AR8" s="47">
        <f t="shared" si="22"/>
        <v>-69.5</v>
      </c>
      <c r="AU8">
        <f t="shared" ref="AU8" si="24">IF(S8="Yes",-195,0)</f>
        <v>0</v>
      </c>
    </row>
    <row r="9" spans="1:48">
      <c r="A9" s="30">
        <f t="shared" si="0"/>
        <v>45816</v>
      </c>
      <c r="B9" s="31">
        <v>45816</v>
      </c>
      <c r="C9" s="32" t="s">
        <v>186</v>
      </c>
      <c r="D9" s="33">
        <v>0</v>
      </c>
      <c r="E9" s="35">
        <f t="shared" si="10"/>
        <v>2.0833333333333332E-2</v>
      </c>
      <c r="F9" s="34">
        <v>30</v>
      </c>
      <c r="G9" s="33">
        <v>0.10416666666666667</v>
      </c>
      <c r="H9" s="36">
        <f t="shared" si="11"/>
        <v>120</v>
      </c>
      <c r="I9" s="37">
        <f t="shared" si="12"/>
        <v>2.0833333333333332E-2</v>
      </c>
      <c r="J9" s="4">
        <v>30</v>
      </c>
      <c r="K9" s="7"/>
      <c r="L9" s="38"/>
      <c r="M9" s="39"/>
      <c r="N9" s="33"/>
      <c r="O9" s="33"/>
      <c r="P9" s="47">
        <v>0.11</v>
      </c>
      <c r="Q9" t="s">
        <v>45</v>
      </c>
      <c r="R9" t="s">
        <v>45</v>
      </c>
      <c r="S9" t="s">
        <v>45</v>
      </c>
      <c r="T9" t="s">
        <v>45</v>
      </c>
      <c r="U9" s="7"/>
      <c r="V9" s="13"/>
      <c r="W9" s="13"/>
      <c r="X9" s="40"/>
      <c r="Y9" s="4"/>
      <c r="Z9" s="4"/>
      <c r="AA9" s="4"/>
      <c r="AB9" s="4"/>
      <c r="AC9" s="13"/>
      <c r="AD9" s="15"/>
      <c r="AG9" s="18"/>
      <c r="AH9" s="19"/>
      <c r="AI9" s="19"/>
      <c r="AJ9" s="20"/>
      <c r="AK9" s="19"/>
      <c r="AL9" s="19"/>
      <c r="AM9" s="19"/>
      <c r="AN9" s="19"/>
      <c r="AO9" s="19"/>
      <c r="AP9" s="19"/>
      <c r="AQ9" s="19"/>
      <c r="AR9" s="47"/>
    </row>
    <row r="10" spans="1:48">
      <c r="A10" s="30">
        <f t="shared" si="0"/>
        <v>45817</v>
      </c>
      <c r="B10" s="31">
        <v>45817</v>
      </c>
      <c r="C10" s="32" t="s">
        <v>186</v>
      </c>
      <c r="D10" s="33">
        <v>0</v>
      </c>
      <c r="E10" s="35">
        <f t="shared" si="10"/>
        <v>2.0833333333333332E-2</v>
      </c>
      <c r="F10" s="34">
        <v>30</v>
      </c>
      <c r="G10" s="33">
        <v>0.10416666666666667</v>
      </c>
      <c r="H10" s="36">
        <f t="shared" si="11"/>
        <v>120</v>
      </c>
      <c r="I10" s="37">
        <f t="shared" si="12"/>
        <v>0.10069444444444443</v>
      </c>
      <c r="J10" s="4">
        <v>30</v>
      </c>
      <c r="K10" s="7"/>
      <c r="L10" s="38">
        <v>4.3055555555555555E-2</v>
      </c>
      <c r="M10" s="39">
        <v>6.0416666666666667E-2</v>
      </c>
      <c r="N10" s="33">
        <v>7.9861111111111105E-2</v>
      </c>
      <c r="O10" s="33">
        <v>0.10069444444444445</v>
      </c>
      <c r="P10" s="47">
        <v>0.11</v>
      </c>
      <c r="Q10" t="s">
        <v>45</v>
      </c>
      <c r="R10" t="s">
        <v>45</v>
      </c>
      <c r="S10" t="s">
        <v>45</v>
      </c>
      <c r="T10" t="s">
        <v>45</v>
      </c>
      <c r="U10" s="7"/>
      <c r="V10" s="13">
        <f t="shared" si="13"/>
        <v>25</v>
      </c>
      <c r="W10" s="13">
        <f t="shared" si="13"/>
        <v>27.999999999999989</v>
      </c>
      <c r="X10" s="40">
        <f t="shared" si="14"/>
        <v>62</v>
      </c>
      <c r="Y10" s="4">
        <f t="shared" si="14"/>
        <v>57</v>
      </c>
      <c r="Z10" s="4">
        <f t="shared" si="1"/>
        <v>-35.000000000000014</v>
      </c>
      <c r="AA10" s="4">
        <f t="shared" si="2"/>
        <v>-30.000000000000011</v>
      </c>
      <c r="AB10" s="4">
        <f t="shared" si="3"/>
        <v>-5.0000000000000018</v>
      </c>
      <c r="AC10" s="13">
        <f t="shared" si="4"/>
        <v>30</v>
      </c>
      <c r="AD10" s="15">
        <f t="shared" si="5"/>
        <v>97.000000000000014</v>
      </c>
      <c r="AG10" s="18">
        <v>0</v>
      </c>
      <c r="AH10" s="19">
        <f t="shared" si="6"/>
        <v>30</v>
      </c>
      <c r="AI10" s="19">
        <f t="shared" si="7"/>
        <v>150</v>
      </c>
      <c r="AJ10" s="20">
        <f t="shared" si="15"/>
        <v>52</v>
      </c>
      <c r="AK10" s="19">
        <f t="shared" si="16"/>
        <v>52</v>
      </c>
      <c r="AL10" s="19">
        <f t="shared" si="17"/>
        <v>87</v>
      </c>
      <c r="AM10" s="19">
        <f t="shared" si="18"/>
        <v>87</v>
      </c>
      <c r="AN10" s="19">
        <f t="shared" si="8"/>
        <v>114.99999999999999</v>
      </c>
      <c r="AO10" s="19">
        <f t="shared" si="19"/>
        <v>107.5</v>
      </c>
      <c r="AP10" s="19">
        <f t="shared" si="20"/>
        <v>145</v>
      </c>
      <c r="AQ10" s="19">
        <f t="shared" si="21"/>
        <v>297</v>
      </c>
      <c r="AR10" s="47">
        <f t="shared" si="22"/>
        <v>-69.5</v>
      </c>
    </row>
    <row r="11" spans="1:48">
      <c r="A11" s="30">
        <f t="shared" si="0"/>
        <v>45818</v>
      </c>
      <c r="B11" s="31">
        <v>45818</v>
      </c>
      <c r="C11" s="32" t="s">
        <v>186</v>
      </c>
      <c r="D11" s="33">
        <v>0</v>
      </c>
      <c r="E11" s="35">
        <f t="shared" si="10"/>
        <v>2.0833333333333332E-2</v>
      </c>
      <c r="F11" s="34">
        <v>30</v>
      </c>
      <c r="G11" s="33">
        <v>0.10416666666666667</v>
      </c>
      <c r="H11" s="36">
        <f t="shared" si="11"/>
        <v>120</v>
      </c>
      <c r="I11" s="37">
        <f t="shared" si="12"/>
        <v>7.8472222222222221E-2</v>
      </c>
      <c r="J11" s="4">
        <v>30</v>
      </c>
      <c r="K11" s="7"/>
      <c r="L11" s="38">
        <v>2.2916666666666665E-2</v>
      </c>
      <c r="M11" s="39">
        <v>3.8194444444444448E-2</v>
      </c>
      <c r="N11" s="33">
        <v>5.7638888888888892E-2</v>
      </c>
      <c r="O11" s="33">
        <v>7.6388888888888895E-2</v>
      </c>
      <c r="P11" s="47">
        <v>0.1</v>
      </c>
      <c r="Q11" t="s">
        <v>45</v>
      </c>
      <c r="R11" t="s">
        <v>45</v>
      </c>
      <c r="S11" t="s">
        <v>45</v>
      </c>
      <c r="T11" t="s">
        <v>45</v>
      </c>
      <c r="U11" s="7"/>
      <c r="V11" s="13">
        <f t="shared" si="13"/>
        <v>22.000000000000007</v>
      </c>
      <c r="W11" s="13">
        <f t="shared" si="13"/>
        <v>28</v>
      </c>
      <c r="X11" s="40">
        <f t="shared" si="14"/>
        <v>33</v>
      </c>
      <c r="Y11" s="4">
        <f t="shared" si="14"/>
        <v>25.000000000000007</v>
      </c>
      <c r="Z11" s="4">
        <f t="shared" si="1"/>
        <v>-67</v>
      </c>
      <c r="AA11" s="4">
        <f t="shared" si="2"/>
        <v>-59</v>
      </c>
      <c r="AB11" s="4">
        <f t="shared" si="3"/>
        <v>-40</v>
      </c>
      <c r="AC11" s="13">
        <f t="shared" si="4"/>
        <v>27</v>
      </c>
      <c r="AD11" s="15">
        <f t="shared" si="5"/>
        <v>100</v>
      </c>
      <c r="AG11" s="18">
        <v>0</v>
      </c>
      <c r="AH11" s="19">
        <f t="shared" si="6"/>
        <v>30</v>
      </c>
      <c r="AI11" s="19">
        <f t="shared" si="7"/>
        <v>150</v>
      </c>
      <c r="AJ11" s="20">
        <f t="shared" si="15"/>
        <v>23</v>
      </c>
      <c r="AK11" s="19">
        <f t="shared" si="16"/>
        <v>23</v>
      </c>
      <c r="AL11" s="19">
        <f t="shared" si="17"/>
        <v>55.000000000000007</v>
      </c>
      <c r="AM11" s="19">
        <f t="shared" si="18"/>
        <v>55.000000000000007</v>
      </c>
      <c r="AN11" s="19">
        <f t="shared" si="8"/>
        <v>83</v>
      </c>
      <c r="AO11" s="19">
        <f t="shared" si="19"/>
        <v>91.5</v>
      </c>
      <c r="AP11" s="19">
        <f t="shared" si="20"/>
        <v>110</v>
      </c>
      <c r="AQ11" s="19">
        <f t="shared" si="21"/>
        <v>300</v>
      </c>
      <c r="AR11" s="47">
        <f t="shared" si="22"/>
        <v>-70</v>
      </c>
    </row>
    <row r="12" spans="1:48">
      <c r="A12" s="30">
        <f t="shared" si="0"/>
        <v>45819</v>
      </c>
      <c r="B12" s="31">
        <v>45819</v>
      </c>
      <c r="C12" s="32" t="s">
        <v>186</v>
      </c>
      <c r="D12" s="33">
        <v>0</v>
      </c>
      <c r="E12" s="35">
        <f t="shared" si="10"/>
        <v>2.0833333333333332E-2</v>
      </c>
      <c r="F12" s="34">
        <v>30</v>
      </c>
      <c r="G12" s="33">
        <v>0.10416666666666667</v>
      </c>
      <c r="H12" s="36">
        <f t="shared" si="11"/>
        <v>120</v>
      </c>
      <c r="I12" s="37">
        <f t="shared" si="12"/>
        <v>9.5833333333333326E-2</v>
      </c>
      <c r="J12" s="4">
        <v>30</v>
      </c>
      <c r="K12" s="7"/>
      <c r="L12" s="38">
        <v>3.3333333333333333E-2</v>
      </c>
      <c r="M12" s="39">
        <v>5.2083333333333336E-2</v>
      </c>
      <c r="N12" s="33">
        <v>7.4999999999999997E-2</v>
      </c>
      <c r="O12" s="33">
        <v>8.6805555555555552E-2</v>
      </c>
      <c r="P12" s="47">
        <v>0.11</v>
      </c>
      <c r="Q12" t="s">
        <v>45</v>
      </c>
      <c r="R12" t="s">
        <v>45</v>
      </c>
      <c r="S12" t="s">
        <v>45</v>
      </c>
      <c r="T12" t="s">
        <v>45</v>
      </c>
      <c r="U12" s="7"/>
      <c r="V12" s="13">
        <f t="shared" si="13"/>
        <v>27.000000000000004</v>
      </c>
      <c r="W12" s="13">
        <f t="shared" si="13"/>
        <v>32.999999999999993</v>
      </c>
      <c r="X12" s="40">
        <f t="shared" si="14"/>
        <v>48</v>
      </c>
      <c r="Y12" s="4">
        <f t="shared" si="14"/>
        <v>45</v>
      </c>
      <c r="Z12" s="4">
        <f t="shared" si="1"/>
        <v>-42.000000000000014</v>
      </c>
      <c r="AA12" s="4">
        <f t="shared" si="2"/>
        <v>-39.000000000000007</v>
      </c>
      <c r="AB12" s="4">
        <f t="shared" si="3"/>
        <v>-25.000000000000011</v>
      </c>
      <c r="AC12" s="13">
        <f t="shared" si="4"/>
        <v>17</v>
      </c>
      <c r="AD12" s="15">
        <f t="shared" si="5"/>
        <v>90.000000000000014</v>
      </c>
      <c r="AG12" s="18">
        <v>0</v>
      </c>
      <c r="AH12" s="19">
        <f t="shared" si="6"/>
        <v>30</v>
      </c>
      <c r="AI12" s="19">
        <f t="shared" si="7"/>
        <v>150</v>
      </c>
      <c r="AJ12" s="20">
        <f t="shared" si="15"/>
        <v>38</v>
      </c>
      <c r="AK12" s="19">
        <f t="shared" si="16"/>
        <v>38</v>
      </c>
      <c r="AL12" s="19">
        <f t="shared" si="17"/>
        <v>75</v>
      </c>
      <c r="AM12" s="19">
        <f t="shared" si="18"/>
        <v>75</v>
      </c>
      <c r="AN12" s="19">
        <f t="shared" si="8"/>
        <v>108</v>
      </c>
      <c r="AO12" s="19">
        <f t="shared" si="19"/>
        <v>104</v>
      </c>
      <c r="AP12" s="19">
        <f t="shared" si="20"/>
        <v>125</v>
      </c>
      <c r="AQ12" s="19">
        <f t="shared" si="21"/>
        <v>290</v>
      </c>
      <c r="AR12" s="47">
        <f t="shared" si="22"/>
        <v>-69.5</v>
      </c>
      <c r="AS12">
        <f t="shared" si="9"/>
        <v>0</v>
      </c>
    </row>
    <row r="13" spans="1:48">
      <c r="A13" s="30">
        <f t="shared" si="0"/>
        <v>45820</v>
      </c>
      <c r="B13" s="31">
        <v>45820</v>
      </c>
      <c r="C13" s="32" t="s">
        <v>186</v>
      </c>
      <c r="D13" s="33">
        <v>0</v>
      </c>
      <c r="E13" s="35">
        <f t="shared" si="10"/>
        <v>2.0833333333333332E-2</v>
      </c>
      <c r="F13" s="34">
        <v>30</v>
      </c>
      <c r="G13" s="33">
        <v>0.10416666666666667</v>
      </c>
      <c r="H13" s="36">
        <f t="shared" si="11"/>
        <v>120</v>
      </c>
      <c r="I13" s="37">
        <f t="shared" si="12"/>
        <v>7.6388888888888881E-2</v>
      </c>
      <c r="J13" s="4">
        <v>30</v>
      </c>
      <c r="K13" s="7"/>
      <c r="L13" s="38">
        <v>2.361111111111111E-2</v>
      </c>
      <c r="M13" s="39">
        <v>3.8194444444444448E-2</v>
      </c>
      <c r="N13" s="33">
        <v>5.5555555555555552E-2</v>
      </c>
      <c r="O13" s="33">
        <v>7.2916666666666671E-2</v>
      </c>
      <c r="P13" s="47">
        <v>0.11</v>
      </c>
      <c r="Q13" t="s">
        <v>45</v>
      </c>
      <c r="R13" t="s">
        <v>45</v>
      </c>
      <c r="S13" t="s">
        <v>45</v>
      </c>
      <c r="T13" t="s">
        <v>45</v>
      </c>
      <c r="U13" s="7"/>
      <c r="V13" s="13">
        <f t="shared" si="13"/>
        <v>21.000000000000007</v>
      </c>
      <c r="W13" s="13">
        <f t="shared" si="13"/>
        <v>24.999999999999993</v>
      </c>
      <c r="X13" s="40">
        <f t="shared" si="14"/>
        <v>34</v>
      </c>
      <c r="Y13" s="4">
        <f t="shared" si="14"/>
        <v>25.000000000000007</v>
      </c>
      <c r="Z13" s="4">
        <f t="shared" si="1"/>
        <v>-70.000000000000014</v>
      </c>
      <c r="AA13" s="4">
        <f t="shared" si="2"/>
        <v>-61.000000000000007</v>
      </c>
      <c r="AB13" s="4">
        <f t="shared" si="3"/>
        <v>-45</v>
      </c>
      <c r="AC13" s="13">
        <f t="shared" si="4"/>
        <v>25</v>
      </c>
      <c r="AD13" s="15">
        <f t="shared" si="5"/>
        <v>104.00000000000001</v>
      </c>
      <c r="AG13" s="18">
        <v>0</v>
      </c>
      <c r="AH13" s="19">
        <f t="shared" si="6"/>
        <v>30</v>
      </c>
      <c r="AI13" s="19">
        <f t="shared" si="7"/>
        <v>150</v>
      </c>
      <c r="AJ13" s="20">
        <f t="shared" si="15"/>
        <v>24</v>
      </c>
      <c r="AK13" s="19">
        <f t="shared" si="16"/>
        <v>24</v>
      </c>
      <c r="AL13" s="19">
        <f t="shared" si="17"/>
        <v>55.000000000000007</v>
      </c>
      <c r="AM13" s="19">
        <f t="shared" si="18"/>
        <v>55.000000000000007</v>
      </c>
      <c r="AN13" s="19">
        <f t="shared" si="8"/>
        <v>80</v>
      </c>
      <c r="AO13" s="19">
        <f t="shared" si="19"/>
        <v>90</v>
      </c>
      <c r="AP13" s="19">
        <f t="shared" si="20"/>
        <v>105</v>
      </c>
      <c r="AQ13" s="19">
        <f t="shared" si="21"/>
        <v>304</v>
      </c>
      <c r="AR13" s="47">
        <f t="shared" si="22"/>
        <v>-69.5</v>
      </c>
    </row>
    <row r="14" spans="1:48">
      <c r="A14" s="30">
        <f t="shared" si="0"/>
        <v>45821</v>
      </c>
      <c r="B14" s="31">
        <v>45821</v>
      </c>
      <c r="C14" s="32" t="s">
        <v>186</v>
      </c>
      <c r="D14" s="33">
        <v>0</v>
      </c>
      <c r="E14" s="35">
        <f t="shared" si="10"/>
        <v>2.0833333333333332E-2</v>
      </c>
      <c r="F14" s="34">
        <v>30</v>
      </c>
      <c r="G14" s="33">
        <v>0.10416666666666667</v>
      </c>
      <c r="H14" s="36">
        <f t="shared" si="11"/>
        <v>120</v>
      </c>
      <c r="I14" s="37">
        <f t="shared" si="12"/>
        <v>0.1111111111111111</v>
      </c>
      <c r="J14" s="4">
        <v>30</v>
      </c>
      <c r="K14" s="7"/>
      <c r="L14" s="38">
        <v>6.3194444444444442E-2</v>
      </c>
      <c r="M14" s="39">
        <v>7.2916666666666671E-2</v>
      </c>
      <c r="N14" s="33">
        <v>9.0277777777777776E-2</v>
      </c>
      <c r="O14" s="33">
        <v>0.11388888888888889</v>
      </c>
      <c r="P14" s="47">
        <v>0.11</v>
      </c>
      <c r="Q14" t="s">
        <v>45</v>
      </c>
      <c r="R14" t="s">
        <v>45</v>
      </c>
      <c r="S14" t="s">
        <v>45</v>
      </c>
      <c r="T14" t="s">
        <v>45</v>
      </c>
      <c r="U14" s="7"/>
      <c r="V14" s="13">
        <f t="shared" si="13"/>
        <v>14.000000000000011</v>
      </c>
      <c r="W14" s="13">
        <f t="shared" si="13"/>
        <v>24.999999999999993</v>
      </c>
      <c r="X14" s="40">
        <f t="shared" si="14"/>
        <v>91</v>
      </c>
      <c r="Y14" s="4">
        <f t="shared" si="14"/>
        <v>75.000000000000014</v>
      </c>
      <c r="Z14" s="4">
        <f t="shared" si="1"/>
        <v>-20.000000000000007</v>
      </c>
      <c r="AA14" s="4">
        <f t="shared" si="2"/>
        <v>-4.0000000000000071</v>
      </c>
      <c r="AB14" s="4">
        <f t="shared" si="3"/>
        <v>13.999999999999989</v>
      </c>
      <c r="AC14" s="13">
        <f t="shared" si="4"/>
        <v>34</v>
      </c>
      <c r="AD14" s="15">
        <f t="shared" si="5"/>
        <v>111</v>
      </c>
      <c r="AG14" s="18">
        <v>0</v>
      </c>
      <c r="AH14" s="19">
        <f t="shared" si="6"/>
        <v>30</v>
      </c>
      <c r="AI14" s="19">
        <f t="shared" si="7"/>
        <v>150</v>
      </c>
      <c r="AJ14" s="20">
        <f t="shared" si="15"/>
        <v>81</v>
      </c>
      <c r="AK14" s="19">
        <f t="shared" si="16"/>
        <v>81</v>
      </c>
      <c r="AL14" s="19">
        <f t="shared" si="17"/>
        <v>105.00000000000001</v>
      </c>
      <c r="AM14" s="19">
        <f t="shared" si="18"/>
        <v>105.00000000000001</v>
      </c>
      <c r="AN14" s="19">
        <f t="shared" si="8"/>
        <v>130</v>
      </c>
      <c r="AO14" s="19">
        <f t="shared" si="19"/>
        <v>115</v>
      </c>
      <c r="AP14" s="19">
        <f t="shared" si="20"/>
        <v>164</v>
      </c>
      <c r="AQ14" s="19">
        <f t="shared" si="21"/>
        <v>311</v>
      </c>
      <c r="AR14" s="47">
        <f t="shared" si="22"/>
        <v>-69.5</v>
      </c>
      <c r="AT14">
        <f t="shared" si="23"/>
        <v>0</v>
      </c>
    </row>
    <row r="15" spans="1:48">
      <c r="A15" s="30">
        <f t="shared" si="0"/>
        <v>45822</v>
      </c>
      <c r="B15" s="31">
        <v>45822</v>
      </c>
      <c r="C15" s="32" t="s">
        <v>186</v>
      </c>
      <c r="D15" s="33">
        <v>0</v>
      </c>
      <c r="E15" s="35">
        <f t="shared" si="10"/>
        <v>2.0833333333333332E-2</v>
      </c>
      <c r="F15" s="34">
        <v>30</v>
      </c>
      <c r="G15" s="33">
        <v>0.10416666666666667</v>
      </c>
      <c r="H15" s="36">
        <f t="shared" si="11"/>
        <v>120</v>
      </c>
      <c r="I15" s="37">
        <f t="shared" si="12"/>
        <v>9.0277777777777776E-2</v>
      </c>
      <c r="J15" s="4">
        <v>30</v>
      </c>
      <c r="K15" s="7"/>
      <c r="L15" s="38">
        <v>3.888888888888889E-2</v>
      </c>
      <c r="M15" s="39">
        <v>5.2083333333333336E-2</v>
      </c>
      <c r="N15" s="33">
        <v>6.9444444444444448E-2</v>
      </c>
      <c r="O15" s="33">
        <v>8.6805555555555552E-2</v>
      </c>
      <c r="P15" s="47">
        <v>0.11</v>
      </c>
      <c r="Q15" t="s">
        <v>45</v>
      </c>
      <c r="R15" t="s">
        <v>45</v>
      </c>
      <c r="S15" t="s">
        <v>45</v>
      </c>
      <c r="T15" t="s">
        <v>45</v>
      </c>
      <c r="U15" s="7"/>
      <c r="V15" s="13">
        <f t="shared" si="13"/>
        <v>19.000000000000004</v>
      </c>
      <c r="W15" s="13">
        <f t="shared" si="13"/>
        <v>25</v>
      </c>
      <c r="X15" s="40">
        <f t="shared" si="14"/>
        <v>56</v>
      </c>
      <c r="Y15" s="4">
        <f t="shared" si="14"/>
        <v>45</v>
      </c>
      <c r="Z15" s="4">
        <f t="shared" si="1"/>
        <v>-50</v>
      </c>
      <c r="AA15" s="4">
        <f t="shared" si="2"/>
        <v>-39</v>
      </c>
      <c r="AB15" s="4">
        <f t="shared" si="3"/>
        <v>-25.000000000000011</v>
      </c>
      <c r="AC15" s="13">
        <f t="shared" si="4"/>
        <v>25</v>
      </c>
      <c r="AD15" s="15">
        <f t="shared" si="5"/>
        <v>106</v>
      </c>
      <c r="AG15" s="18">
        <v>0</v>
      </c>
      <c r="AH15" s="19">
        <f t="shared" si="6"/>
        <v>30</v>
      </c>
      <c r="AI15" s="19">
        <f t="shared" si="7"/>
        <v>150</v>
      </c>
      <c r="AJ15" s="20">
        <f t="shared" si="15"/>
        <v>46</v>
      </c>
      <c r="AK15" s="19">
        <f t="shared" si="16"/>
        <v>46</v>
      </c>
      <c r="AL15" s="19">
        <f t="shared" si="17"/>
        <v>75</v>
      </c>
      <c r="AM15" s="19">
        <f t="shared" si="18"/>
        <v>75</v>
      </c>
      <c r="AN15" s="19">
        <f t="shared" si="8"/>
        <v>100</v>
      </c>
      <c r="AO15" s="19">
        <f t="shared" si="19"/>
        <v>100</v>
      </c>
      <c r="AP15" s="19">
        <f t="shared" si="20"/>
        <v>125</v>
      </c>
      <c r="AQ15" s="19">
        <f t="shared" si="21"/>
        <v>306</v>
      </c>
      <c r="AR15" s="47">
        <f t="shared" si="22"/>
        <v>-69.5</v>
      </c>
    </row>
    <row r="16" spans="1:48">
      <c r="A16" s="30">
        <f t="shared" si="0"/>
        <v>45823</v>
      </c>
      <c r="B16" s="31">
        <v>45823</v>
      </c>
      <c r="C16" s="32" t="s">
        <v>186</v>
      </c>
      <c r="D16" s="33">
        <v>0</v>
      </c>
      <c r="E16" s="35">
        <f t="shared" si="10"/>
        <v>2.0833333333333332E-2</v>
      </c>
      <c r="F16" s="34">
        <v>30</v>
      </c>
      <c r="G16" s="33">
        <v>0.10416666666666667</v>
      </c>
      <c r="H16" s="36">
        <f t="shared" si="11"/>
        <v>120</v>
      </c>
      <c r="I16" s="37">
        <f t="shared" si="12"/>
        <v>8.8194444444444436E-2</v>
      </c>
      <c r="J16" s="4">
        <v>30</v>
      </c>
      <c r="K16" s="7"/>
      <c r="L16" s="38">
        <v>3.7499999999999999E-2</v>
      </c>
      <c r="M16" s="39">
        <v>0.05</v>
      </c>
      <c r="N16" s="33">
        <v>6.7361111111111108E-2</v>
      </c>
      <c r="O16" s="33">
        <v>8.819444444444445E-2</v>
      </c>
      <c r="P16" s="47">
        <v>0.11</v>
      </c>
      <c r="Q16" t="s">
        <v>45</v>
      </c>
      <c r="R16" t="s">
        <v>45</v>
      </c>
      <c r="S16" t="s">
        <v>45</v>
      </c>
      <c r="T16" t="s">
        <v>45</v>
      </c>
      <c r="U16" s="7"/>
      <c r="V16" s="13">
        <f t="shared" si="13"/>
        <v>18.000000000000007</v>
      </c>
      <c r="W16" s="13">
        <f t="shared" si="13"/>
        <v>24.999999999999993</v>
      </c>
      <c r="X16" s="40">
        <f t="shared" si="14"/>
        <v>54</v>
      </c>
      <c r="Y16" s="4">
        <f t="shared" si="14"/>
        <v>42.000000000000007</v>
      </c>
      <c r="Z16" s="4">
        <f t="shared" si="1"/>
        <v>-53.000000000000014</v>
      </c>
      <c r="AA16" s="4">
        <f t="shared" si="2"/>
        <v>-41.000000000000007</v>
      </c>
      <c r="AB16" s="4">
        <f t="shared" si="3"/>
        <v>-23</v>
      </c>
      <c r="AC16" s="13">
        <f t="shared" si="4"/>
        <v>30</v>
      </c>
      <c r="AD16" s="15">
        <f t="shared" si="5"/>
        <v>107.00000000000001</v>
      </c>
      <c r="AG16" s="18">
        <v>0</v>
      </c>
      <c r="AH16" s="19">
        <f t="shared" si="6"/>
        <v>30</v>
      </c>
      <c r="AI16" s="19">
        <f t="shared" si="7"/>
        <v>150</v>
      </c>
      <c r="AJ16" s="20">
        <f t="shared" si="15"/>
        <v>44</v>
      </c>
      <c r="AK16" s="19">
        <f t="shared" si="16"/>
        <v>44</v>
      </c>
      <c r="AL16" s="19">
        <f t="shared" si="17"/>
        <v>72</v>
      </c>
      <c r="AM16" s="19">
        <f t="shared" si="18"/>
        <v>72</v>
      </c>
      <c r="AN16" s="19">
        <f t="shared" si="8"/>
        <v>97</v>
      </c>
      <c r="AO16" s="19">
        <f t="shared" si="19"/>
        <v>98.5</v>
      </c>
      <c r="AP16" s="19">
        <f t="shared" si="20"/>
        <v>127</v>
      </c>
      <c r="AQ16" s="19">
        <f t="shared" si="21"/>
        <v>307</v>
      </c>
      <c r="AR16" s="47">
        <f t="shared" si="22"/>
        <v>-69.5</v>
      </c>
    </row>
    <row r="17" spans="1:46">
      <c r="A17" s="30">
        <f t="shared" si="0"/>
        <v>45824</v>
      </c>
      <c r="B17" s="31">
        <v>45824</v>
      </c>
      <c r="C17" s="32" t="s">
        <v>186</v>
      </c>
      <c r="D17" s="33">
        <v>0</v>
      </c>
      <c r="E17" s="35">
        <f t="shared" si="10"/>
        <v>2.0833333333333332E-2</v>
      </c>
      <c r="F17" s="34">
        <v>30</v>
      </c>
      <c r="G17" s="33">
        <v>0.10416666666666667</v>
      </c>
      <c r="H17" s="36">
        <f t="shared" si="11"/>
        <v>120</v>
      </c>
      <c r="I17" s="37">
        <f t="shared" si="12"/>
        <v>0.10416666666666666</v>
      </c>
      <c r="J17" s="4">
        <v>30</v>
      </c>
      <c r="K17" s="7"/>
      <c r="L17" s="38">
        <v>5.347222222222222E-2</v>
      </c>
      <c r="M17" s="39">
        <v>6.5972222222222224E-2</v>
      </c>
      <c r="N17" s="33">
        <v>8.3333333333333329E-2</v>
      </c>
      <c r="O17" s="33">
        <v>0.10416666666666667</v>
      </c>
      <c r="P17" s="47">
        <v>0.11</v>
      </c>
      <c r="Q17" t="s">
        <v>45</v>
      </c>
      <c r="R17" t="s">
        <v>45</v>
      </c>
      <c r="S17" t="s">
        <v>45</v>
      </c>
      <c r="T17" t="s">
        <v>45</v>
      </c>
      <c r="U17" s="7"/>
      <c r="V17" s="13">
        <f t="shared" si="13"/>
        <v>18.000000000000007</v>
      </c>
      <c r="W17" s="13">
        <f t="shared" si="13"/>
        <v>24.999999999999993</v>
      </c>
      <c r="X17" s="40">
        <f t="shared" si="14"/>
        <v>77</v>
      </c>
      <c r="Y17" s="4">
        <f t="shared" si="14"/>
        <v>65.000000000000014</v>
      </c>
      <c r="Z17" s="4">
        <f t="shared" si="1"/>
        <v>-30.000000000000014</v>
      </c>
      <c r="AA17" s="4">
        <f t="shared" si="2"/>
        <v>-18.000000000000007</v>
      </c>
      <c r="AB17" s="4">
        <f t="shared" si="3"/>
        <v>0</v>
      </c>
      <c r="AC17" s="13">
        <f t="shared" si="4"/>
        <v>30</v>
      </c>
      <c r="AD17" s="15">
        <f t="shared" si="5"/>
        <v>107.00000000000001</v>
      </c>
      <c r="AG17" s="18">
        <v>0</v>
      </c>
      <c r="AH17" s="19">
        <f t="shared" si="6"/>
        <v>30</v>
      </c>
      <c r="AI17" s="19">
        <f t="shared" si="7"/>
        <v>150</v>
      </c>
      <c r="AJ17" s="20">
        <f t="shared" si="15"/>
        <v>67</v>
      </c>
      <c r="AK17" s="19">
        <f t="shared" si="16"/>
        <v>67</v>
      </c>
      <c r="AL17" s="19">
        <f t="shared" si="17"/>
        <v>95.000000000000014</v>
      </c>
      <c r="AM17" s="19">
        <f t="shared" si="18"/>
        <v>95.000000000000014</v>
      </c>
      <c r="AN17" s="19">
        <f>AM17+W17</f>
        <v>120</v>
      </c>
      <c r="AO17" s="19">
        <f t="shared" si="19"/>
        <v>110</v>
      </c>
      <c r="AP17" s="19">
        <f t="shared" si="20"/>
        <v>150</v>
      </c>
      <c r="AQ17" s="19">
        <f t="shared" si="21"/>
        <v>307</v>
      </c>
      <c r="AR17" s="47">
        <f t="shared" si="22"/>
        <v>-69.5</v>
      </c>
    </row>
    <row r="18" spans="1:46">
      <c r="A18" s="30">
        <f t="shared" si="0"/>
        <v>45825</v>
      </c>
      <c r="B18" s="31">
        <v>45825</v>
      </c>
      <c r="C18" s="32" t="s">
        <v>186</v>
      </c>
      <c r="D18" s="33">
        <v>0</v>
      </c>
      <c r="E18" s="35">
        <f t="shared" si="10"/>
        <v>2.0833333333333332E-2</v>
      </c>
      <c r="F18" s="34">
        <v>30</v>
      </c>
      <c r="G18" s="33">
        <v>0.10416666666666667</v>
      </c>
      <c r="H18" s="36">
        <f t="shared" si="11"/>
        <v>120</v>
      </c>
      <c r="I18" s="37">
        <f t="shared" si="12"/>
        <v>8.3333333333333329E-2</v>
      </c>
      <c r="J18" s="4">
        <v>30</v>
      </c>
      <c r="K18" s="7"/>
      <c r="L18" s="38">
        <v>3.4722222222222224E-2</v>
      </c>
      <c r="M18" s="39">
        <v>4.5138888888888888E-2</v>
      </c>
      <c r="N18" s="33">
        <v>6.25E-2</v>
      </c>
      <c r="O18" s="33">
        <v>7.6388888888888895E-2</v>
      </c>
      <c r="P18" s="47">
        <v>0.1</v>
      </c>
      <c r="Q18" t="s">
        <v>45</v>
      </c>
      <c r="R18" t="s">
        <v>45</v>
      </c>
      <c r="S18" t="s">
        <v>45</v>
      </c>
      <c r="T18" t="s">
        <v>45</v>
      </c>
      <c r="U18" s="7"/>
      <c r="V18" s="13">
        <f t="shared" si="13"/>
        <v>14.999999999999996</v>
      </c>
      <c r="W18" s="13">
        <f t="shared" si="13"/>
        <v>25</v>
      </c>
      <c r="X18" s="40">
        <f t="shared" si="14"/>
        <v>50</v>
      </c>
      <c r="Y18" s="4">
        <f t="shared" si="14"/>
        <v>35</v>
      </c>
      <c r="Z18" s="4">
        <f t="shared" si="1"/>
        <v>-60.000000000000007</v>
      </c>
      <c r="AA18" s="4">
        <f t="shared" si="2"/>
        <v>-45</v>
      </c>
      <c r="AB18" s="4">
        <f t="shared" si="3"/>
        <v>-40</v>
      </c>
      <c r="AC18" s="13">
        <f t="shared" si="4"/>
        <v>20</v>
      </c>
      <c r="AD18" s="15">
        <f t="shared" si="5"/>
        <v>110</v>
      </c>
      <c r="AG18" s="18">
        <v>0</v>
      </c>
      <c r="AH18" s="19">
        <f t="shared" si="6"/>
        <v>30</v>
      </c>
      <c r="AI18" s="19">
        <f t="shared" si="7"/>
        <v>150</v>
      </c>
      <c r="AJ18" s="20">
        <f t="shared" si="15"/>
        <v>40</v>
      </c>
      <c r="AK18" s="19">
        <f t="shared" si="16"/>
        <v>40</v>
      </c>
      <c r="AL18" s="19">
        <f t="shared" si="17"/>
        <v>65</v>
      </c>
      <c r="AM18" s="19">
        <f t="shared" si="18"/>
        <v>65</v>
      </c>
      <c r="AN18" s="19">
        <f>AM18+W18</f>
        <v>90</v>
      </c>
      <c r="AO18" s="19">
        <f t="shared" si="19"/>
        <v>95</v>
      </c>
      <c r="AP18" s="19">
        <f t="shared" si="20"/>
        <v>110</v>
      </c>
      <c r="AQ18" s="19">
        <f t="shared" si="21"/>
        <v>310</v>
      </c>
      <c r="AR18" s="47">
        <f t="shared" si="22"/>
        <v>-70</v>
      </c>
      <c r="AT18">
        <f t="shared" si="23"/>
        <v>0</v>
      </c>
    </row>
    <row r="19" spans="1:46">
      <c r="A19" s="30">
        <f t="shared" si="0"/>
        <v>45826</v>
      </c>
      <c r="B19" s="31">
        <v>45826</v>
      </c>
      <c r="C19" s="32" t="s">
        <v>186</v>
      </c>
      <c r="D19" s="33">
        <v>0</v>
      </c>
      <c r="E19" s="35">
        <f t="shared" si="10"/>
        <v>2.0833333333333332E-2</v>
      </c>
      <c r="F19" s="34">
        <v>30</v>
      </c>
      <c r="G19" s="33">
        <v>0.10416666666666667</v>
      </c>
      <c r="H19" s="36">
        <f t="shared" si="11"/>
        <v>120</v>
      </c>
      <c r="I19" s="37">
        <f t="shared" si="12"/>
        <v>7.7777777777777779E-2</v>
      </c>
      <c r="J19" s="4">
        <v>30</v>
      </c>
      <c r="K19" s="7"/>
      <c r="L19" s="38">
        <v>2.7777777777777776E-2</v>
      </c>
      <c r="M19" s="39">
        <v>3.9583333333333331E-2</v>
      </c>
      <c r="N19" s="33">
        <v>5.6944444444444443E-2</v>
      </c>
      <c r="O19" s="33">
        <v>7.2916666666666671E-2</v>
      </c>
      <c r="P19" s="47">
        <v>0.11</v>
      </c>
      <c r="Q19" t="s">
        <v>45</v>
      </c>
      <c r="R19" t="s">
        <v>45</v>
      </c>
      <c r="S19" t="s">
        <v>45</v>
      </c>
      <c r="T19" t="s">
        <v>45</v>
      </c>
      <c r="U19" s="7"/>
      <c r="V19" s="13">
        <f t="shared" si="13"/>
        <v>17</v>
      </c>
      <c r="W19" s="13">
        <f t="shared" si="13"/>
        <v>25</v>
      </c>
      <c r="X19" s="40">
        <f t="shared" si="14"/>
        <v>40</v>
      </c>
      <c r="Y19" s="4">
        <f t="shared" si="14"/>
        <v>27</v>
      </c>
      <c r="Z19" s="4">
        <f t="shared" si="1"/>
        <v>-68.000000000000014</v>
      </c>
      <c r="AA19" s="4">
        <f t="shared" si="2"/>
        <v>-55</v>
      </c>
      <c r="AB19" s="4">
        <f t="shared" si="3"/>
        <v>-45</v>
      </c>
      <c r="AC19" s="13">
        <f t="shared" si="4"/>
        <v>23</v>
      </c>
      <c r="AD19" s="15">
        <f t="shared" si="5"/>
        <v>108.00000000000001</v>
      </c>
      <c r="AG19" s="18">
        <v>0</v>
      </c>
      <c r="AH19" s="19">
        <f t="shared" si="6"/>
        <v>30</v>
      </c>
      <c r="AI19" s="19">
        <f t="shared" si="7"/>
        <v>150</v>
      </c>
      <c r="AJ19" s="20">
        <f t="shared" si="15"/>
        <v>30</v>
      </c>
      <c r="AK19" s="19">
        <f t="shared" si="16"/>
        <v>30</v>
      </c>
      <c r="AL19" s="19">
        <f t="shared" si="17"/>
        <v>57</v>
      </c>
      <c r="AM19" s="19">
        <f t="shared" si="18"/>
        <v>57</v>
      </c>
      <c r="AN19" s="19">
        <f>AM19+W19</f>
        <v>82</v>
      </c>
      <c r="AO19" s="19">
        <f t="shared" si="19"/>
        <v>91</v>
      </c>
      <c r="AP19" s="19">
        <f t="shared" si="20"/>
        <v>105</v>
      </c>
      <c r="AQ19" s="19">
        <f t="shared" si="21"/>
        <v>308</v>
      </c>
      <c r="AR19" s="47">
        <f t="shared" si="22"/>
        <v>-69.5</v>
      </c>
    </row>
    <row r="20" spans="1:46">
      <c r="A20" s="30">
        <f t="shared" si="0"/>
        <v>45827</v>
      </c>
      <c r="B20" s="31">
        <v>45827</v>
      </c>
      <c r="C20" s="32" t="s">
        <v>186</v>
      </c>
      <c r="D20" s="33">
        <v>0</v>
      </c>
      <c r="E20" s="35">
        <f t="shared" si="10"/>
        <v>2.0833333333333332E-2</v>
      </c>
      <c r="F20" s="34">
        <v>30</v>
      </c>
      <c r="G20" s="33">
        <v>0.10416666666666667</v>
      </c>
      <c r="H20" s="36">
        <f t="shared" si="11"/>
        <v>120</v>
      </c>
      <c r="I20" s="37">
        <f t="shared" si="12"/>
        <v>7.9861111111111105E-2</v>
      </c>
      <c r="J20" s="4">
        <v>30</v>
      </c>
      <c r="K20" s="7"/>
      <c r="L20" s="38">
        <v>2.2916666666666665E-2</v>
      </c>
      <c r="M20" s="39">
        <v>4.1666666666666664E-2</v>
      </c>
      <c r="N20" s="33">
        <v>5.9027777777777776E-2</v>
      </c>
      <c r="O20" s="33">
        <v>7.6388888888888895E-2</v>
      </c>
      <c r="P20" s="47">
        <v>0.11</v>
      </c>
      <c r="Q20" t="s">
        <v>45</v>
      </c>
      <c r="R20" t="s">
        <v>45</v>
      </c>
      <c r="S20" t="s">
        <v>45</v>
      </c>
      <c r="T20" t="s">
        <v>45</v>
      </c>
      <c r="U20" s="7"/>
      <c r="V20" s="13">
        <f t="shared" si="13"/>
        <v>27</v>
      </c>
      <c r="W20" s="13">
        <f t="shared" si="13"/>
        <v>25</v>
      </c>
      <c r="X20" s="40">
        <f t="shared" si="14"/>
        <v>33</v>
      </c>
      <c r="Y20" s="4">
        <f t="shared" si="14"/>
        <v>30</v>
      </c>
      <c r="Z20" s="4">
        <f t="shared" si="1"/>
        <v>-65.000000000000014</v>
      </c>
      <c r="AA20" s="4">
        <f t="shared" si="2"/>
        <v>-62</v>
      </c>
      <c r="AB20" s="4">
        <f t="shared" si="3"/>
        <v>-40</v>
      </c>
      <c r="AC20" s="13">
        <f t="shared" si="4"/>
        <v>25</v>
      </c>
      <c r="AD20" s="15">
        <f t="shared" si="5"/>
        <v>98.000000000000014</v>
      </c>
      <c r="AG20" s="18">
        <v>0</v>
      </c>
      <c r="AH20" s="19">
        <f t="shared" si="6"/>
        <v>30</v>
      </c>
      <c r="AI20" s="19">
        <f t="shared" si="7"/>
        <v>150</v>
      </c>
      <c r="AJ20" s="20">
        <f t="shared" si="15"/>
        <v>23</v>
      </c>
      <c r="AK20" s="19">
        <f t="shared" si="16"/>
        <v>23</v>
      </c>
      <c r="AL20" s="19">
        <f t="shared" si="17"/>
        <v>60</v>
      </c>
      <c r="AM20" s="19">
        <f t="shared" si="18"/>
        <v>60</v>
      </c>
      <c r="AN20" s="19">
        <f>AM20+W20</f>
        <v>85</v>
      </c>
      <c r="AO20" s="19">
        <f t="shared" si="19"/>
        <v>92.5</v>
      </c>
      <c r="AP20" s="19">
        <f t="shared" si="20"/>
        <v>110</v>
      </c>
      <c r="AQ20" s="19">
        <f t="shared" si="21"/>
        <v>298</v>
      </c>
      <c r="AR20" s="47">
        <f t="shared" si="22"/>
        <v>-69.5</v>
      </c>
      <c r="AS20">
        <f t="shared" si="9"/>
        <v>0</v>
      </c>
      <c r="AT20">
        <f t="shared" si="23"/>
        <v>0</v>
      </c>
    </row>
    <row r="21" spans="1:46">
      <c r="A21" s="30">
        <f t="shared" si="0"/>
        <v>45828</v>
      </c>
      <c r="B21" s="31">
        <v>45828</v>
      </c>
      <c r="C21" s="32" t="s">
        <v>186</v>
      </c>
      <c r="D21" s="33">
        <v>0</v>
      </c>
      <c r="E21" s="35">
        <f t="shared" si="10"/>
        <v>2.0833333333333332E-2</v>
      </c>
      <c r="F21" s="34">
        <v>30</v>
      </c>
      <c r="G21" s="33">
        <v>0.10416666666666667</v>
      </c>
      <c r="H21" s="36">
        <f t="shared" si="11"/>
        <v>120</v>
      </c>
      <c r="I21" s="37">
        <f t="shared" si="12"/>
        <v>7.6388888888888881E-2</v>
      </c>
      <c r="J21" s="4">
        <v>30</v>
      </c>
      <c r="K21" s="7"/>
      <c r="L21" s="38">
        <v>2.013888888888889E-2</v>
      </c>
      <c r="M21" s="39">
        <v>3.8194444444444448E-2</v>
      </c>
      <c r="N21" s="33">
        <v>5.5555555555555552E-2</v>
      </c>
      <c r="O21" s="33">
        <v>7.6388888888888895E-2</v>
      </c>
      <c r="P21" s="47">
        <v>0.11</v>
      </c>
      <c r="Q21" t="s">
        <v>45</v>
      </c>
      <c r="R21" t="s">
        <v>45</v>
      </c>
      <c r="S21" t="s">
        <v>45</v>
      </c>
      <c r="T21" t="s">
        <v>45</v>
      </c>
      <c r="U21" s="7"/>
      <c r="V21" s="13">
        <f t="shared" si="13"/>
        <v>26.000000000000004</v>
      </c>
      <c r="W21" s="13">
        <f t="shared" si="13"/>
        <v>24.999999999999993</v>
      </c>
      <c r="X21" s="40">
        <f t="shared" si="14"/>
        <v>29.000000000000004</v>
      </c>
      <c r="Y21" s="4">
        <f t="shared" si="14"/>
        <v>25.000000000000007</v>
      </c>
      <c r="Z21" s="4">
        <f t="shared" si="1"/>
        <v>-70.000000000000014</v>
      </c>
      <c r="AA21" s="4">
        <f t="shared" si="2"/>
        <v>-66</v>
      </c>
      <c r="AB21" s="4">
        <f t="shared" si="3"/>
        <v>-40</v>
      </c>
      <c r="AC21" s="13">
        <f t="shared" si="4"/>
        <v>30</v>
      </c>
      <c r="AD21" s="15">
        <f t="shared" si="5"/>
        <v>99.000000000000014</v>
      </c>
      <c r="AG21" s="18">
        <v>0</v>
      </c>
      <c r="AH21" s="19">
        <f t="shared" si="6"/>
        <v>30</v>
      </c>
      <c r="AI21" s="19">
        <f t="shared" si="7"/>
        <v>150</v>
      </c>
      <c r="AJ21" s="20">
        <f t="shared" si="15"/>
        <v>19.000000000000004</v>
      </c>
      <c r="AK21" s="19">
        <f t="shared" si="16"/>
        <v>19.000000000000004</v>
      </c>
      <c r="AL21" s="19">
        <f t="shared" si="17"/>
        <v>55.000000000000007</v>
      </c>
      <c r="AM21" s="19">
        <f t="shared" si="18"/>
        <v>55.000000000000007</v>
      </c>
      <c r="AN21" s="19">
        <f t="shared" ref="AN21:AN33" si="25">AM21+W21</f>
        <v>80</v>
      </c>
      <c r="AO21" s="19">
        <f t="shared" si="19"/>
        <v>90</v>
      </c>
      <c r="AP21" s="19">
        <f t="shared" si="20"/>
        <v>110</v>
      </c>
      <c r="AQ21" s="19">
        <f t="shared" si="21"/>
        <v>299</v>
      </c>
      <c r="AR21" s="47">
        <f t="shared" si="22"/>
        <v>-69.5</v>
      </c>
      <c r="AS21">
        <f t="shared" si="9"/>
        <v>0</v>
      </c>
    </row>
    <row r="22" spans="1:46">
      <c r="A22" s="30">
        <f t="shared" si="0"/>
        <v>45829</v>
      </c>
      <c r="B22" s="31">
        <v>45829</v>
      </c>
      <c r="C22" s="32" t="s">
        <v>186</v>
      </c>
      <c r="D22" s="33">
        <v>0</v>
      </c>
      <c r="E22" s="35">
        <f t="shared" si="10"/>
        <v>2.0833333333333332E-2</v>
      </c>
      <c r="F22" s="34">
        <v>30</v>
      </c>
      <c r="G22" s="33">
        <v>0.10416666666666667</v>
      </c>
      <c r="H22" s="36">
        <f t="shared" si="11"/>
        <v>120</v>
      </c>
      <c r="I22" s="37">
        <f t="shared" si="12"/>
        <v>9.375E-2</v>
      </c>
      <c r="J22" s="4">
        <v>30</v>
      </c>
      <c r="K22" s="7"/>
      <c r="L22" s="38">
        <v>4.2361111111111113E-2</v>
      </c>
      <c r="M22" s="39">
        <v>5.5555555555555552E-2</v>
      </c>
      <c r="N22" s="33">
        <v>7.2916666666666671E-2</v>
      </c>
      <c r="O22" s="33">
        <v>9.375E-2</v>
      </c>
      <c r="P22" s="47">
        <v>0.11</v>
      </c>
      <c r="Q22" t="s">
        <v>45</v>
      </c>
      <c r="R22" t="s">
        <v>45</v>
      </c>
      <c r="S22" t="s">
        <v>45</v>
      </c>
      <c r="T22" t="s">
        <v>45</v>
      </c>
      <c r="U22" s="7"/>
      <c r="V22" s="13">
        <f t="shared" si="13"/>
        <v>18.999999999999993</v>
      </c>
      <c r="W22" s="13">
        <f t="shared" si="13"/>
        <v>25.000000000000011</v>
      </c>
      <c r="X22" s="40">
        <f t="shared" si="14"/>
        <v>61</v>
      </c>
      <c r="Y22" s="4">
        <f t="shared" si="14"/>
        <v>50</v>
      </c>
      <c r="Z22" s="4">
        <f t="shared" si="1"/>
        <v>-45</v>
      </c>
      <c r="AA22" s="4">
        <f t="shared" si="2"/>
        <v>-33.999999999999986</v>
      </c>
      <c r="AB22" s="4">
        <f t="shared" si="3"/>
        <v>-15.000000000000007</v>
      </c>
      <c r="AC22" s="13">
        <f t="shared" si="4"/>
        <v>30</v>
      </c>
      <c r="AD22" s="15">
        <f t="shared" si="5"/>
        <v>106</v>
      </c>
      <c r="AG22" s="18">
        <v>0</v>
      </c>
      <c r="AH22" s="19">
        <f t="shared" si="6"/>
        <v>30</v>
      </c>
      <c r="AI22" s="19">
        <f t="shared" si="7"/>
        <v>150</v>
      </c>
      <c r="AJ22" s="20">
        <f t="shared" si="15"/>
        <v>51</v>
      </c>
      <c r="AK22" s="19">
        <f t="shared" si="16"/>
        <v>51</v>
      </c>
      <c r="AL22" s="19">
        <f t="shared" si="17"/>
        <v>80</v>
      </c>
      <c r="AM22" s="19">
        <f t="shared" si="18"/>
        <v>80</v>
      </c>
      <c r="AN22" s="19">
        <f t="shared" si="25"/>
        <v>105.00000000000001</v>
      </c>
      <c r="AO22" s="19">
        <f t="shared" si="19"/>
        <v>102.5</v>
      </c>
      <c r="AP22" s="19">
        <f t="shared" si="20"/>
        <v>135</v>
      </c>
      <c r="AQ22" s="19">
        <f t="shared" si="21"/>
        <v>306</v>
      </c>
      <c r="AR22" s="47">
        <f t="shared" si="22"/>
        <v>-69.5</v>
      </c>
      <c r="AS22">
        <f t="shared" si="9"/>
        <v>0</v>
      </c>
    </row>
    <row r="23" spans="1:46">
      <c r="A23" s="30">
        <f t="shared" si="0"/>
        <v>45830</v>
      </c>
      <c r="B23" s="31">
        <v>45830</v>
      </c>
      <c r="C23" s="32" t="s">
        <v>186</v>
      </c>
      <c r="D23" s="33">
        <v>0</v>
      </c>
      <c r="E23" s="35">
        <f t="shared" si="10"/>
        <v>2.0833333333333332E-2</v>
      </c>
      <c r="F23" s="34">
        <v>30</v>
      </c>
      <c r="G23" s="33">
        <v>0.10416666666666667</v>
      </c>
      <c r="H23" s="36">
        <f t="shared" si="11"/>
        <v>120</v>
      </c>
      <c r="I23" s="37">
        <f t="shared" si="12"/>
        <v>8.6805555555555552E-2</v>
      </c>
      <c r="J23" s="4">
        <v>30</v>
      </c>
      <c r="K23" s="7"/>
      <c r="L23" s="38">
        <v>3.125E-2</v>
      </c>
      <c r="M23" s="39">
        <v>4.8611111111111112E-2</v>
      </c>
      <c r="N23" s="33">
        <v>6.5972222222222224E-2</v>
      </c>
      <c r="O23" s="33">
        <v>9.166666666666666E-2</v>
      </c>
      <c r="P23" s="47">
        <v>0.11</v>
      </c>
      <c r="Q23" t="s">
        <v>45</v>
      </c>
      <c r="R23" t="s">
        <v>45</v>
      </c>
      <c r="S23" t="s">
        <v>45</v>
      </c>
      <c r="T23" t="s">
        <v>45</v>
      </c>
      <c r="U23" s="7"/>
      <c r="V23" s="13">
        <f t="shared" si="13"/>
        <v>25</v>
      </c>
      <c r="W23" s="13">
        <f t="shared" si="13"/>
        <v>25</v>
      </c>
      <c r="X23" s="40">
        <f t="shared" si="14"/>
        <v>45</v>
      </c>
      <c r="Y23" s="4">
        <f t="shared" si="14"/>
        <v>40</v>
      </c>
      <c r="Z23" s="4">
        <f t="shared" si="1"/>
        <v>-55.000000000000007</v>
      </c>
      <c r="AA23" s="4">
        <f t="shared" si="2"/>
        <v>-50</v>
      </c>
      <c r="AB23" s="4">
        <f t="shared" si="3"/>
        <v>-18.000000000000014</v>
      </c>
      <c r="AC23" s="13">
        <f t="shared" si="4"/>
        <v>37</v>
      </c>
      <c r="AD23" s="15">
        <f t="shared" si="5"/>
        <v>100</v>
      </c>
      <c r="AG23" s="18">
        <v>0</v>
      </c>
      <c r="AH23" s="19">
        <f t="shared" si="6"/>
        <v>30</v>
      </c>
      <c r="AI23" s="19">
        <f t="shared" si="7"/>
        <v>150</v>
      </c>
      <c r="AJ23" s="20">
        <f t="shared" si="15"/>
        <v>35</v>
      </c>
      <c r="AK23" s="19">
        <f t="shared" si="16"/>
        <v>35</v>
      </c>
      <c r="AL23" s="19">
        <f t="shared" si="17"/>
        <v>70</v>
      </c>
      <c r="AM23" s="19">
        <f t="shared" si="18"/>
        <v>70</v>
      </c>
      <c r="AN23" s="19">
        <f t="shared" si="25"/>
        <v>95</v>
      </c>
      <c r="AO23" s="19">
        <f t="shared" si="19"/>
        <v>97.5</v>
      </c>
      <c r="AP23" s="19">
        <f t="shared" si="20"/>
        <v>132</v>
      </c>
      <c r="AQ23" s="19">
        <f t="shared" si="21"/>
        <v>300</v>
      </c>
      <c r="AR23" s="47">
        <f t="shared" si="22"/>
        <v>-69.5</v>
      </c>
      <c r="AS23">
        <f t="shared" si="9"/>
        <v>0</v>
      </c>
    </row>
    <row r="24" spans="1:46">
      <c r="A24" s="30">
        <f t="shared" si="0"/>
        <v>45831</v>
      </c>
      <c r="B24" s="31">
        <v>45831</v>
      </c>
      <c r="C24" s="32" t="s">
        <v>186</v>
      </c>
      <c r="D24" s="33">
        <v>0</v>
      </c>
      <c r="E24" s="35">
        <f t="shared" si="10"/>
        <v>2.0833333333333332E-2</v>
      </c>
      <c r="F24" s="34">
        <v>30</v>
      </c>
      <c r="G24" s="33">
        <v>0.10416666666666667</v>
      </c>
      <c r="H24" s="36">
        <f t="shared" si="11"/>
        <v>120</v>
      </c>
      <c r="I24" s="37">
        <f t="shared" si="12"/>
        <v>8.5416666666666669E-2</v>
      </c>
      <c r="J24" s="4">
        <v>30</v>
      </c>
      <c r="K24" s="7"/>
      <c r="L24" s="38">
        <v>2.5000000000000001E-2</v>
      </c>
      <c r="M24" s="39">
        <v>4.1666666666666664E-2</v>
      </c>
      <c r="N24" s="33">
        <v>6.458333333333334E-2</v>
      </c>
      <c r="O24" s="33">
        <v>7.4999999999999997E-2</v>
      </c>
      <c r="P24" s="47">
        <v>0.11</v>
      </c>
      <c r="Q24" t="s">
        <v>45</v>
      </c>
      <c r="R24" t="s">
        <v>45</v>
      </c>
      <c r="S24" t="s">
        <v>45</v>
      </c>
      <c r="T24" t="s">
        <v>45</v>
      </c>
      <c r="U24" s="7"/>
      <c r="V24" s="13">
        <f t="shared" si="13"/>
        <v>23.999999999999993</v>
      </c>
      <c r="W24" s="13">
        <f t="shared" si="13"/>
        <v>33.000000000000014</v>
      </c>
      <c r="X24" s="40">
        <f t="shared" si="14"/>
        <v>36</v>
      </c>
      <c r="Y24" s="4">
        <f t="shared" si="14"/>
        <v>30</v>
      </c>
      <c r="Z24" s="4">
        <f t="shared" si="1"/>
        <v>-57</v>
      </c>
      <c r="AA24" s="4">
        <f t="shared" si="2"/>
        <v>-50.999999999999986</v>
      </c>
      <c r="AB24" s="4">
        <f t="shared" si="3"/>
        <v>-42.000000000000014</v>
      </c>
      <c r="AC24" s="13">
        <f t="shared" si="4"/>
        <v>15</v>
      </c>
      <c r="AD24" s="15">
        <f t="shared" si="5"/>
        <v>93</v>
      </c>
      <c r="AG24" s="18">
        <v>0</v>
      </c>
      <c r="AH24" s="19">
        <f t="shared" si="6"/>
        <v>30</v>
      </c>
      <c r="AI24" s="19">
        <f t="shared" si="7"/>
        <v>150</v>
      </c>
      <c r="AJ24" s="20">
        <f t="shared" si="15"/>
        <v>26</v>
      </c>
      <c r="AK24" s="19">
        <f t="shared" si="16"/>
        <v>26</v>
      </c>
      <c r="AL24" s="19">
        <f t="shared" si="17"/>
        <v>60</v>
      </c>
      <c r="AM24" s="19">
        <f t="shared" si="18"/>
        <v>60</v>
      </c>
      <c r="AN24" s="19">
        <f t="shared" si="25"/>
        <v>93.000000000000014</v>
      </c>
      <c r="AO24" s="19">
        <f t="shared" si="19"/>
        <v>96.5</v>
      </c>
      <c r="AP24" s="19">
        <f t="shared" si="20"/>
        <v>108.00000000000001</v>
      </c>
      <c r="AQ24" s="19">
        <f t="shared" si="21"/>
        <v>293</v>
      </c>
      <c r="AR24" s="47">
        <f t="shared" si="22"/>
        <v>-69.5</v>
      </c>
      <c r="AS24">
        <f t="shared" si="9"/>
        <v>0</v>
      </c>
    </row>
    <row r="25" spans="1:46">
      <c r="A25" s="30">
        <f t="shared" si="0"/>
        <v>45832</v>
      </c>
      <c r="B25" s="31">
        <v>45832</v>
      </c>
      <c r="C25" s="32" t="s">
        <v>186</v>
      </c>
      <c r="D25" s="33">
        <v>0</v>
      </c>
      <c r="E25" s="35">
        <f t="shared" si="10"/>
        <v>2.0833333333333332E-2</v>
      </c>
      <c r="F25" s="34">
        <v>30</v>
      </c>
      <c r="G25" s="33">
        <v>0.10416666666666667</v>
      </c>
      <c r="H25" s="36">
        <f t="shared" si="11"/>
        <v>120</v>
      </c>
      <c r="I25" s="37">
        <f t="shared" si="12"/>
        <v>8.8888888888888878E-2</v>
      </c>
      <c r="J25" s="4">
        <v>30</v>
      </c>
      <c r="K25" s="7"/>
      <c r="L25" s="38">
        <v>3.3333333333333333E-2</v>
      </c>
      <c r="M25" s="39">
        <v>4.8611111111111112E-2</v>
      </c>
      <c r="N25" s="33">
        <v>6.805555555555555E-2</v>
      </c>
      <c r="O25" s="33">
        <v>8.1250000000000003E-2</v>
      </c>
      <c r="P25" s="47">
        <v>0.1</v>
      </c>
      <c r="Q25" t="s">
        <v>45</v>
      </c>
      <c r="R25" t="s">
        <v>45</v>
      </c>
      <c r="S25" t="s">
        <v>45</v>
      </c>
      <c r="T25" t="s">
        <v>45</v>
      </c>
      <c r="U25" s="7"/>
      <c r="V25" s="13">
        <f t="shared" si="13"/>
        <v>22</v>
      </c>
      <c r="W25" s="13">
        <f t="shared" si="13"/>
        <v>27.999999999999989</v>
      </c>
      <c r="X25" s="40">
        <f t="shared" si="14"/>
        <v>48</v>
      </c>
      <c r="Y25" s="4">
        <f t="shared" si="14"/>
        <v>40</v>
      </c>
      <c r="Z25" s="4">
        <f t="shared" si="1"/>
        <v>-52.000000000000014</v>
      </c>
      <c r="AA25" s="4">
        <f t="shared" si="2"/>
        <v>-44.000000000000014</v>
      </c>
      <c r="AB25" s="4">
        <f t="shared" si="3"/>
        <v>-33</v>
      </c>
      <c r="AC25" s="13">
        <f t="shared" si="4"/>
        <v>19</v>
      </c>
      <c r="AD25" s="15">
        <f t="shared" si="5"/>
        <v>100.00000000000001</v>
      </c>
      <c r="AG25" s="18">
        <v>0</v>
      </c>
      <c r="AH25" s="19">
        <f t="shared" si="6"/>
        <v>30</v>
      </c>
      <c r="AI25" s="19">
        <f t="shared" si="7"/>
        <v>150</v>
      </c>
      <c r="AJ25" s="20">
        <f t="shared" si="15"/>
        <v>38</v>
      </c>
      <c r="AK25" s="19">
        <f t="shared" si="16"/>
        <v>38</v>
      </c>
      <c r="AL25" s="19">
        <f t="shared" si="17"/>
        <v>70</v>
      </c>
      <c r="AM25" s="19">
        <f t="shared" si="18"/>
        <v>70</v>
      </c>
      <c r="AN25" s="19">
        <f t="shared" si="25"/>
        <v>97.999999999999986</v>
      </c>
      <c r="AO25" s="19">
        <f t="shared" si="19"/>
        <v>99</v>
      </c>
      <c r="AP25" s="19">
        <f t="shared" si="20"/>
        <v>116.99999999999999</v>
      </c>
      <c r="AQ25" s="19">
        <f t="shared" si="21"/>
        <v>300</v>
      </c>
      <c r="AR25" s="47">
        <f t="shared" si="22"/>
        <v>-70</v>
      </c>
    </row>
    <row r="26" spans="1:46">
      <c r="A26" s="30">
        <f t="shared" si="0"/>
        <v>45833</v>
      </c>
      <c r="B26" s="31">
        <v>45833</v>
      </c>
      <c r="C26" s="32" t="s">
        <v>186</v>
      </c>
      <c r="D26" s="33">
        <v>0</v>
      </c>
      <c r="E26" s="35">
        <f t="shared" si="10"/>
        <v>2.0833333333333332E-2</v>
      </c>
      <c r="F26" s="34">
        <v>30</v>
      </c>
      <c r="G26" s="33">
        <v>0.10416666666666667</v>
      </c>
      <c r="H26" s="36">
        <f t="shared" si="11"/>
        <v>120</v>
      </c>
      <c r="I26" s="37">
        <f t="shared" si="12"/>
        <v>7.8472222222222221E-2</v>
      </c>
      <c r="J26" s="4">
        <v>30</v>
      </c>
      <c r="K26" s="7"/>
      <c r="L26" s="38">
        <v>2.4305555555555556E-2</v>
      </c>
      <c r="M26" s="39">
        <v>3.8194444444444448E-2</v>
      </c>
      <c r="N26" s="33">
        <v>5.7638888888888892E-2</v>
      </c>
      <c r="O26" s="33">
        <v>7.6388888888888895E-2</v>
      </c>
      <c r="P26" s="47">
        <v>0.11</v>
      </c>
      <c r="Q26" t="s">
        <v>45</v>
      </c>
      <c r="R26" t="s">
        <v>45</v>
      </c>
      <c r="S26" t="s">
        <v>45</v>
      </c>
      <c r="T26" t="s">
        <v>45</v>
      </c>
      <c r="U26" s="7"/>
      <c r="V26" s="13">
        <f t="shared" si="13"/>
        <v>20.000000000000004</v>
      </c>
      <c r="W26" s="13">
        <f t="shared" si="13"/>
        <v>28</v>
      </c>
      <c r="X26" s="40">
        <f t="shared" si="14"/>
        <v>35</v>
      </c>
      <c r="Y26" s="4">
        <f t="shared" si="14"/>
        <v>25.000000000000007</v>
      </c>
      <c r="Z26" s="4">
        <f t="shared" si="1"/>
        <v>-67</v>
      </c>
      <c r="AA26" s="4">
        <f t="shared" si="2"/>
        <v>-57</v>
      </c>
      <c r="AB26" s="4">
        <f t="shared" si="3"/>
        <v>-40</v>
      </c>
      <c r="AC26" s="13">
        <f t="shared" si="4"/>
        <v>27</v>
      </c>
      <c r="AD26" s="15">
        <f t="shared" si="5"/>
        <v>102</v>
      </c>
      <c r="AG26" s="18">
        <v>0</v>
      </c>
      <c r="AH26" s="19">
        <f t="shared" si="6"/>
        <v>30</v>
      </c>
      <c r="AI26" s="19">
        <f t="shared" si="7"/>
        <v>150</v>
      </c>
      <c r="AJ26" s="20">
        <f t="shared" si="15"/>
        <v>25</v>
      </c>
      <c r="AK26" s="19">
        <f t="shared" si="16"/>
        <v>25</v>
      </c>
      <c r="AL26" s="19">
        <f t="shared" si="17"/>
        <v>55.000000000000007</v>
      </c>
      <c r="AM26" s="19">
        <f t="shared" si="18"/>
        <v>55.000000000000007</v>
      </c>
      <c r="AN26" s="19">
        <f t="shared" si="25"/>
        <v>83</v>
      </c>
      <c r="AO26" s="19">
        <f t="shared" si="19"/>
        <v>91.5</v>
      </c>
      <c r="AP26" s="19">
        <f t="shared" si="20"/>
        <v>110</v>
      </c>
      <c r="AQ26" s="19">
        <f t="shared" si="21"/>
        <v>302</v>
      </c>
      <c r="AR26" s="47">
        <f t="shared" si="22"/>
        <v>-69.5</v>
      </c>
    </row>
    <row r="27" spans="1:46">
      <c r="A27" s="30">
        <f t="shared" si="0"/>
        <v>45834</v>
      </c>
      <c r="B27" s="31">
        <v>45834</v>
      </c>
      <c r="C27" s="32" t="s">
        <v>186</v>
      </c>
      <c r="D27" s="33">
        <v>0</v>
      </c>
      <c r="E27" s="35">
        <f t="shared" si="10"/>
        <v>2.0833333333333332E-2</v>
      </c>
      <c r="F27" s="34">
        <v>30</v>
      </c>
      <c r="G27" s="33">
        <v>0.10416666666666667</v>
      </c>
      <c r="H27" s="36">
        <f t="shared" si="11"/>
        <v>120</v>
      </c>
      <c r="I27" s="37">
        <f t="shared" si="12"/>
        <v>8.6805555555555552E-2</v>
      </c>
      <c r="J27" s="4">
        <v>30</v>
      </c>
      <c r="K27" s="7"/>
      <c r="L27" s="38">
        <v>3.6111111111111108E-2</v>
      </c>
      <c r="M27" s="39">
        <v>4.8611111111111112E-2</v>
      </c>
      <c r="N27" s="33">
        <v>6.5972222222222224E-2</v>
      </c>
      <c r="O27" s="33">
        <v>8.3333333333333329E-2</v>
      </c>
      <c r="P27" s="47">
        <v>0.11</v>
      </c>
      <c r="Q27" t="s">
        <v>45</v>
      </c>
      <c r="R27" t="s">
        <v>45</v>
      </c>
      <c r="S27" t="s">
        <v>45</v>
      </c>
      <c r="T27" t="s">
        <v>45</v>
      </c>
      <c r="U27" s="7"/>
      <c r="V27" s="13">
        <f t="shared" si="13"/>
        <v>18.000000000000007</v>
      </c>
      <c r="W27" s="13">
        <f t="shared" si="13"/>
        <v>25</v>
      </c>
      <c r="X27" s="40">
        <f t="shared" si="14"/>
        <v>51.999999999999993</v>
      </c>
      <c r="Y27" s="4">
        <f t="shared" si="14"/>
        <v>40</v>
      </c>
      <c r="Z27" s="4">
        <f t="shared" si="1"/>
        <v>-55.000000000000007</v>
      </c>
      <c r="AA27" s="4">
        <f t="shared" si="2"/>
        <v>-43</v>
      </c>
      <c r="AB27" s="4">
        <f t="shared" si="3"/>
        <v>-30.000000000000014</v>
      </c>
      <c r="AC27" s="13">
        <f t="shared" si="4"/>
        <v>25</v>
      </c>
      <c r="AD27" s="15">
        <f t="shared" si="5"/>
        <v>107</v>
      </c>
      <c r="AG27" s="18">
        <v>0</v>
      </c>
      <c r="AH27" s="19">
        <f t="shared" si="6"/>
        <v>30</v>
      </c>
      <c r="AI27" s="19">
        <f t="shared" si="7"/>
        <v>150</v>
      </c>
      <c r="AJ27" s="20">
        <f t="shared" si="15"/>
        <v>41.999999999999993</v>
      </c>
      <c r="AK27" s="19">
        <f t="shared" si="16"/>
        <v>41.999999999999993</v>
      </c>
      <c r="AL27" s="19">
        <f t="shared" si="17"/>
        <v>70</v>
      </c>
      <c r="AM27" s="19">
        <f t="shared" si="18"/>
        <v>70</v>
      </c>
      <c r="AN27" s="19">
        <f t="shared" si="25"/>
        <v>95</v>
      </c>
      <c r="AO27" s="19">
        <f t="shared" si="19"/>
        <v>97.5</v>
      </c>
      <c r="AP27" s="19">
        <f t="shared" si="20"/>
        <v>120</v>
      </c>
      <c r="AQ27" s="19">
        <f t="shared" si="21"/>
        <v>307</v>
      </c>
      <c r="AR27" s="47">
        <f t="shared" si="22"/>
        <v>-69.5</v>
      </c>
      <c r="AS27">
        <f t="shared" si="9"/>
        <v>0</v>
      </c>
    </row>
    <row r="28" spans="1:46">
      <c r="A28" s="30">
        <f t="shared" si="0"/>
        <v>45835</v>
      </c>
      <c r="B28" s="31">
        <v>45835</v>
      </c>
      <c r="C28" s="32" t="s">
        <v>186</v>
      </c>
      <c r="D28" s="33">
        <v>0</v>
      </c>
      <c r="E28" s="35">
        <f t="shared" si="10"/>
        <v>2.0833333333333332E-2</v>
      </c>
      <c r="F28" s="34">
        <v>30</v>
      </c>
      <c r="G28" s="33">
        <v>0.10416666666666667</v>
      </c>
      <c r="H28" s="36">
        <f t="shared" si="11"/>
        <v>120</v>
      </c>
      <c r="I28" s="37">
        <f t="shared" si="12"/>
        <v>9.0277777777777776E-2</v>
      </c>
      <c r="J28" s="4">
        <v>30</v>
      </c>
      <c r="K28" s="7"/>
      <c r="L28" s="38">
        <v>3.7499999999999999E-2</v>
      </c>
      <c r="M28" s="39">
        <v>0.05</v>
      </c>
      <c r="N28" s="33">
        <v>6.9444444444444448E-2</v>
      </c>
      <c r="O28" s="33">
        <v>9.0277777777777776E-2</v>
      </c>
      <c r="P28" s="47">
        <v>0.11</v>
      </c>
      <c r="Q28" t="s">
        <v>45</v>
      </c>
      <c r="R28" t="s">
        <v>45</v>
      </c>
      <c r="S28" t="s">
        <v>45</v>
      </c>
      <c r="T28" t="s">
        <v>45</v>
      </c>
      <c r="U28" s="7"/>
      <c r="V28" s="13">
        <f t="shared" si="13"/>
        <v>18.000000000000007</v>
      </c>
      <c r="W28" s="13">
        <f t="shared" si="13"/>
        <v>28</v>
      </c>
      <c r="X28" s="40">
        <f t="shared" si="14"/>
        <v>54</v>
      </c>
      <c r="Y28" s="4">
        <f t="shared" si="14"/>
        <v>42.000000000000007</v>
      </c>
      <c r="Z28" s="4">
        <f t="shared" si="1"/>
        <v>-50</v>
      </c>
      <c r="AA28" s="4">
        <f t="shared" si="2"/>
        <v>-38</v>
      </c>
      <c r="AB28" s="4">
        <f t="shared" si="3"/>
        <v>-20.000000000000007</v>
      </c>
      <c r="AC28" s="13">
        <f t="shared" si="4"/>
        <v>30</v>
      </c>
      <c r="AD28" s="15">
        <f t="shared" si="5"/>
        <v>104</v>
      </c>
      <c r="AG28" s="18">
        <v>0</v>
      </c>
      <c r="AH28" s="19">
        <f t="shared" si="6"/>
        <v>30</v>
      </c>
      <c r="AI28" s="19">
        <f t="shared" si="7"/>
        <v>150</v>
      </c>
      <c r="AJ28" s="20">
        <f t="shared" si="15"/>
        <v>44</v>
      </c>
      <c r="AK28" s="19">
        <f t="shared" si="16"/>
        <v>44</v>
      </c>
      <c r="AL28" s="19">
        <f t="shared" si="17"/>
        <v>72</v>
      </c>
      <c r="AM28" s="19">
        <f t="shared" si="18"/>
        <v>72</v>
      </c>
      <c r="AN28" s="19">
        <f t="shared" si="25"/>
        <v>100</v>
      </c>
      <c r="AO28" s="19">
        <f t="shared" si="19"/>
        <v>100</v>
      </c>
      <c r="AP28" s="19">
        <f t="shared" si="20"/>
        <v>130</v>
      </c>
      <c r="AQ28" s="19">
        <f t="shared" si="21"/>
        <v>304</v>
      </c>
      <c r="AR28" s="47">
        <f t="shared" si="22"/>
        <v>-69.5</v>
      </c>
    </row>
    <row r="29" spans="1:46">
      <c r="A29" s="30">
        <f t="shared" si="0"/>
        <v>45836</v>
      </c>
      <c r="B29" s="31">
        <v>45836</v>
      </c>
      <c r="C29" s="32" t="s">
        <v>186</v>
      </c>
      <c r="D29" s="33">
        <v>0</v>
      </c>
      <c r="E29" s="35">
        <f t="shared" si="10"/>
        <v>2.0833333333333332E-2</v>
      </c>
      <c r="F29" s="34">
        <v>30</v>
      </c>
      <c r="G29" s="33">
        <v>0.10416666666666667</v>
      </c>
      <c r="H29" s="36">
        <f t="shared" si="11"/>
        <v>120</v>
      </c>
      <c r="I29" s="37">
        <f t="shared" si="12"/>
        <v>8.8888888888888878E-2</v>
      </c>
      <c r="J29" s="4">
        <v>30</v>
      </c>
      <c r="K29" s="7"/>
      <c r="L29" s="38">
        <v>3.2638888888888891E-2</v>
      </c>
      <c r="M29" s="39">
        <v>4.8611111111111112E-2</v>
      </c>
      <c r="N29" s="33">
        <v>6.805555555555555E-2</v>
      </c>
      <c r="O29" s="33">
        <v>8.3333333333333329E-2</v>
      </c>
      <c r="P29" s="47">
        <v>0.11</v>
      </c>
      <c r="Q29" t="s">
        <v>45</v>
      </c>
      <c r="R29" t="s">
        <v>45</v>
      </c>
      <c r="S29" t="s">
        <v>45</v>
      </c>
      <c r="T29" t="s">
        <v>45</v>
      </c>
      <c r="U29" s="7"/>
      <c r="V29" s="13">
        <f t="shared" si="13"/>
        <v>23</v>
      </c>
      <c r="W29" s="13">
        <f t="shared" si="13"/>
        <v>27.999999999999989</v>
      </c>
      <c r="X29" s="40">
        <f t="shared" si="14"/>
        <v>47</v>
      </c>
      <c r="Y29" s="4">
        <f t="shared" si="14"/>
        <v>40</v>
      </c>
      <c r="Z29" s="4">
        <f t="shared" si="1"/>
        <v>-52.000000000000014</v>
      </c>
      <c r="AA29" s="4">
        <f t="shared" si="2"/>
        <v>-45.000000000000014</v>
      </c>
      <c r="AB29" s="4">
        <f t="shared" si="3"/>
        <v>-30.000000000000014</v>
      </c>
      <c r="AC29" s="13">
        <f t="shared" si="4"/>
        <v>22</v>
      </c>
      <c r="AD29" s="15">
        <f t="shared" si="5"/>
        <v>99.000000000000014</v>
      </c>
      <c r="AG29" s="18">
        <v>0</v>
      </c>
      <c r="AH29" s="19">
        <f t="shared" si="6"/>
        <v>30</v>
      </c>
      <c r="AI29" s="19">
        <f t="shared" si="7"/>
        <v>150</v>
      </c>
      <c r="AJ29" s="20">
        <f t="shared" si="15"/>
        <v>37</v>
      </c>
      <c r="AK29" s="19">
        <f t="shared" si="16"/>
        <v>37</v>
      </c>
      <c r="AL29" s="19">
        <f t="shared" si="17"/>
        <v>70</v>
      </c>
      <c r="AM29" s="19">
        <f t="shared" si="18"/>
        <v>70</v>
      </c>
      <c r="AN29" s="19">
        <f t="shared" si="25"/>
        <v>97.999999999999986</v>
      </c>
      <c r="AO29" s="19">
        <f t="shared" si="19"/>
        <v>99</v>
      </c>
      <c r="AP29" s="19">
        <f t="shared" si="20"/>
        <v>119.99999999999999</v>
      </c>
      <c r="AQ29" s="19">
        <f t="shared" si="21"/>
        <v>299</v>
      </c>
      <c r="AR29" s="47">
        <f t="shared" si="22"/>
        <v>-69.5</v>
      </c>
      <c r="AT29">
        <f t="shared" ref="AT29" si="26">IF(R29="Yes",-210,0)</f>
        <v>0</v>
      </c>
    </row>
    <row r="30" spans="1:46">
      <c r="A30" s="30">
        <f t="shared" si="0"/>
        <v>45837</v>
      </c>
      <c r="B30" s="31">
        <v>45837</v>
      </c>
      <c r="C30" s="32" t="s">
        <v>186</v>
      </c>
      <c r="D30" s="33">
        <v>0</v>
      </c>
      <c r="E30" s="35">
        <f t="shared" si="10"/>
        <v>2.0833333333333332E-2</v>
      </c>
      <c r="F30" s="34">
        <v>30</v>
      </c>
      <c r="G30" s="33">
        <v>0.10416666666666667</v>
      </c>
      <c r="H30" s="36">
        <f t="shared" si="11"/>
        <v>120</v>
      </c>
      <c r="I30" s="37">
        <f t="shared" si="12"/>
        <v>9.930555555555555E-2</v>
      </c>
      <c r="J30" s="4">
        <v>30</v>
      </c>
      <c r="K30" s="7"/>
      <c r="L30" s="38">
        <v>3.5416666666666666E-2</v>
      </c>
      <c r="M30" s="39">
        <v>5.9027777777777776E-2</v>
      </c>
      <c r="N30" s="33">
        <v>7.8472222222222221E-2</v>
      </c>
      <c r="O30" s="33">
        <v>0.1076388888888889</v>
      </c>
      <c r="P30" s="47">
        <v>0.11</v>
      </c>
      <c r="Q30" t="s">
        <v>45</v>
      </c>
      <c r="R30" t="s">
        <v>45</v>
      </c>
      <c r="S30" t="s">
        <v>45</v>
      </c>
      <c r="T30" t="s">
        <v>45</v>
      </c>
      <c r="U30" s="7"/>
      <c r="V30" s="13">
        <f t="shared" si="13"/>
        <v>34</v>
      </c>
      <c r="W30" s="13">
        <f t="shared" si="13"/>
        <v>28</v>
      </c>
      <c r="X30" s="40">
        <f t="shared" si="14"/>
        <v>51</v>
      </c>
      <c r="Y30" s="4">
        <f t="shared" si="14"/>
        <v>55.000000000000007</v>
      </c>
      <c r="Z30" s="4">
        <f t="shared" si="1"/>
        <v>-37.000000000000007</v>
      </c>
      <c r="AA30" s="4">
        <f t="shared" si="2"/>
        <v>-41</v>
      </c>
      <c r="AB30" s="4">
        <f t="shared" si="3"/>
        <v>5.0000000000000018</v>
      </c>
      <c r="AC30" s="13">
        <f t="shared" si="4"/>
        <v>42</v>
      </c>
      <c r="AD30" s="15">
        <f t="shared" si="5"/>
        <v>88</v>
      </c>
      <c r="AG30" s="18">
        <v>0</v>
      </c>
      <c r="AH30" s="19">
        <f t="shared" si="6"/>
        <v>30</v>
      </c>
      <c r="AI30" s="19">
        <f t="shared" si="7"/>
        <v>150</v>
      </c>
      <c r="AJ30" s="20">
        <f t="shared" si="15"/>
        <v>41</v>
      </c>
      <c r="AK30" s="19">
        <f t="shared" si="16"/>
        <v>41</v>
      </c>
      <c r="AL30" s="19">
        <f t="shared" si="17"/>
        <v>85</v>
      </c>
      <c r="AM30" s="19">
        <f t="shared" si="18"/>
        <v>85</v>
      </c>
      <c r="AN30" s="19">
        <f t="shared" si="25"/>
        <v>113</v>
      </c>
      <c r="AO30" s="19">
        <f t="shared" si="19"/>
        <v>106.5</v>
      </c>
      <c r="AP30" s="19">
        <f t="shared" si="20"/>
        <v>155</v>
      </c>
      <c r="AQ30" s="19">
        <f t="shared" si="21"/>
        <v>288</v>
      </c>
      <c r="AR30" s="47">
        <f t="shared" si="22"/>
        <v>-69.5</v>
      </c>
      <c r="AS30">
        <f t="shared" si="9"/>
        <v>0</v>
      </c>
    </row>
    <row r="31" spans="1:46">
      <c r="A31" s="30">
        <f t="shared" si="0"/>
        <v>45838</v>
      </c>
      <c r="B31" s="31">
        <v>45838</v>
      </c>
      <c r="C31" s="32" t="s">
        <v>186</v>
      </c>
      <c r="D31" s="33">
        <v>0</v>
      </c>
      <c r="E31" s="35">
        <f t="shared" si="10"/>
        <v>2.0833333333333332E-2</v>
      </c>
      <c r="F31" s="34">
        <v>30</v>
      </c>
      <c r="G31" s="33">
        <v>0.10416666666666667</v>
      </c>
      <c r="H31" s="36">
        <f t="shared" si="11"/>
        <v>120</v>
      </c>
      <c r="I31" s="37">
        <f t="shared" si="12"/>
        <v>8.7499999999999994E-2</v>
      </c>
      <c r="J31" s="4">
        <v>30</v>
      </c>
      <c r="K31" s="7"/>
      <c r="L31" s="38">
        <v>3.5416666666666666E-2</v>
      </c>
      <c r="M31" s="39">
        <v>4.7222222222222221E-2</v>
      </c>
      <c r="N31" s="33">
        <v>6.6666666666666666E-2</v>
      </c>
      <c r="O31" s="33">
        <v>8.3333333333333329E-2</v>
      </c>
      <c r="P31" s="47">
        <v>0.11</v>
      </c>
      <c r="Q31" t="s">
        <v>45</v>
      </c>
      <c r="R31" t="s">
        <v>45</v>
      </c>
      <c r="S31" t="s">
        <v>45</v>
      </c>
      <c r="T31" t="s">
        <v>45</v>
      </c>
      <c r="U31" s="7"/>
      <c r="V31" s="13">
        <f t="shared" si="13"/>
        <v>17</v>
      </c>
      <c r="W31" s="13">
        <f t="shared" si="13"/>
        <v>28</v>
      </c>
      <c r="X31" s="40">
        <f t="shared" si="14"/>
        <v>51</v>
      </c>
      <c r="Y31" s="4">
        <f t="shared" si="14"/>
        <v>38</v>
      </c>
      <c r="Z31" s="4">
        <f t="shared" si="1"/>
        <v>-54.000000000000007</v>
      </c>
      <c r="AA31" s="4">
        <f t="shared" si="2"/>
        <v>-41</v>
      </c>
      <c r="AB31" s="4">
        <f t="shared" si="3"/>
        <v>-30.000000000000014</v>
      </c>
      <c r="AC31" s="13">
        <f t="shared" si="4"/>
        <v>24</v>
      </c>
      <c r="AD31" s="15">
        <f t="shared" si="5"/>
        <v>105</v>
      </c>
      <c r="AG31" s="18">
        <v>0</v>
      </c>
      <c r="AH31" s="19">
        <f t="shared" si="6"/>
        <v>30</v>
      </c>
      <c r="AI31" s="19">
        <f t="shared" si="7"/>
        <v>150</v>
      </c>
      <c r="AJ31" s="20">
        <f t="shared" si="15"/>
        <v>41</v>
      </c>
      <c r="AK31" s="19">
        <f t="shared" si="16"/>
        <v>41</v>
      </c>
      <c r="AL31" s="19">
        <f t="shared" si="17"/>
        <v>68</v>
      </c>
      <c r="AM31" s="19">
        <f t="shared" si="18"/>
        <v>68</v>
      </c>
      <c r="AN31" s="19">
        <f t="shared" si="25"/>
        <v>96</v>
      </c>
      <c r="AO31" s="19">
        <f t="shared" si="19"/>
        <v>98</v>
      </c>
      <c r="AP31" s="19">
        <f t="shared" si="20"/>
        <v>120</v>
      </c>
      <c r="AQ31" s="19">
        <f t="shared" si="21"/>
        <v>305</v>
      </c>
      <c r="AR31" s="47">
        <f t="shared" si="22"/>
        <v>-69.5</v>
      </c>
      <c r="AS31">
        <f t="shared" si="9"/>
        <v>0</v>
      </c>
    </row>
    <row r="32" spans="1:46" ht="15" hidden="1" customHeight="1">
      <c r="A32" s="30">
        <f t="shared" si="0"/>
        <v>45747</v>
      </c>
      <c r="B32" s="31">
        <v>45747</v>
      </c>
      <c r="C32" s="32" t="s">
        <v>156</v>
      </c>
      <c r="D32" s="33">
        <v>0</v>
      </c>
      <c r="E32" s="35">
        <f t="shared" si="10"/>
        <v>2.0833333333333332E-2</v>
      </c>
      <c r="F32" s="34">
        <v>30</v>
      </c>
      <c r="G32" s="33">
        <v>0.16666666666666666</v>
      </c>
      <c r="H32" s="36">
        <f t="shared" si="11"/>
        <v>210</v>
      </c>
      <c r="I32" s="37">
        <f t="shared" si="12"/>
        <v>6.7361111111111108E-2</v>
      </c>
      <c r="J32" s="4">
        <v>5</v>
      </c>
      <c r="L32" s="38">
        <v>2.9166666666666667E-2</v>
      </c>
      <c r="M32" s="39">
        <v>4.5138888888888888E-2</v>
      </c>
      <c r="N32" s="33">
        <v>6.3888888888888884E-2</v>
      </c>
      <c r="O32" s="33">
        <v>7.9861111111111105E-2</v>
      </c>
      <c r="P32" s="47">
        <v>3.4552999999999998</v>
      </c>
      <c r="Q32" t="s">
        <v>45</v>
      </c>
      <c r="R32" t="s">
        <v>45</v>
      </c>
      <c r="S32" t="s">
        <v>45</v>
      </c>
      <c r="T32" t="s">
        <v>45</v>
      </c>
      <c r="V32" s="13">
        <f t="shared" si="13"/>
        <v>23</v>
      </c>
      <c r="W32" s="13">
        <f t="shared" si="13"/>
        <v>26.999999999999993</v>
      </c>
      <c r="X32" s="40">
        <f t="shared" si="14"/>
        <v>42</v>
      </c>
      <c r="Y32" s="4">
        <f t="shared" si="14"/>
        <v>35</v>
      </c>
      <c r="Z32" s="4">
        <f t="shared" si="1"/>
        <v>-148</v>
      </c>
      <c r="AA32" s="4">
        <f t="shared" si="2"/>
        <v>-141</v>
      </c>
      <c r="AB32" s="4">
        <f t="shared" si="3"/>
        <v>-125</v>
      </c>
      <c r="AC32" s="13">
        <f t="shared" si="4"/>
        <v>23</v>
      </c>
      <c r="AD32" s="15">
        <f t="shared" si="5"/>
        <v>190</v>
      </c>
      <c r="AG32" s="18">
        <v>0</v>
      </c>
      <c r="AH32" s="19">
        <f t="shared" si="6"/>
        <v>30</v>
      </c>
      <c r="AI32" s="19">
        <f t="shared" si="7"/>
        <v>240</v>
      </c>
      <c r="AJ32" s="20">
        <f t="shared" si="15"/>
        <v>32</v>
      </c>
      <c r="AK32" s="19">
        <f t="shared" si="16"/>
        <v>32</v>
      </c>
      <c r="AL32" s="19">
        <f t="shared" si="17"/>
        <v>65</v>
      </c>
      <c r="AM32" s="19">
        <f t="shared" si="18"/>
        <v>65</v>
      </c>
      <c r="AN32" s="19">
        <f t="shared" si="25"/>
        <v>92</v>
      </c>
      <c r="AO32" s="19">
        <f t="shared" si="19"/>
        <v>96</v>
      </c>
      <c r="AP32" s="19">
        <f t="shared" si="20"/>
        <v>115</v>
      </c>
      <c r="AQ32" s="19">
        <f t="shared" ref="AQ32" si="27">AD32+350</f>
        <v>540</v>
      </c>
      <c r="AR32" s="47">
        <f t="shared" ref="AR32" si="28">(P32*50)-250</f>
        <v>-77.235000000000014</v>
      </c>
    </row>
    <row r="33" spans="1:45">
      <c r="A33" s="84">
        <v>31</v>
      </c>
      <c r="C33" s="136" t="s">
        <v>186</v>
      </c>
      <c r="D33" s="2">
        <v>0</v>
      </c>
      <c r="E33" s="2">
        <v>2.0833333333333332E-2</v>
      </c>
      <c r="F33" s="137">
        <v>30</v>
      </c>
      <c r="G33" s="2">
        <v>0.10416666666666667</v>
      </c>
      <c r="H33" s="138">
        <v>120</v>
      </c>
      <c r="I33" s="37">
        <f t="shared" si="12"/>
        <v>2.0833333333333332E-2</v>
      </c>
      <c r="J33" s="139">
        <v>30</v>
      </c>
      <c r="L33" s="5"/>
      <c r="M33" s="5"/>
      <c r="N33" s="5"/>
      <c r="O33" s="38"/>
      <c r="P33" s="48">
        <v>0.11</v>
      </c>
      <c r="Q33" s="48" t="s">
        <v>45</v>
      </c>
      <c r="R33" s="48" t="s">
        <v>45</v>
      </c>
      <c r="S33" s="48" t="s">
        <v>45</v>
      </c>
      <c r="T33" s="48" t="s">
        <v>45</v>
      </c>
      <c r="V33" s="16">
        <f t="shared" ref="V33:W33" si="29">((M33-L33)*1440)</f>
        <v>0</v>
      </c>
      <c r="W33" s="14">
        <f t="shared" si="29"/>
        <v>0</v>
      </c>
      <c r="X33" s="16">
        <f t="shared" ref="X33:Y33" si="30">((L33-D33)*1440)</f>
        <v>0</v>
      </c>
      <c r="Y33">
        <f t="shared" si="30"/>
        <v>-30</v>
      </c>
      <c r="Z33">
        <f t="shared" si="1"/>
        <v>-150</v>
      </c>
      <c r="AA33">
        <f t="shared" si="2"/>
        <v>-120</v>
      </c>
      <c r="AB33">
        <f t="shared" si="3"/>
        <v>-150</v>
      </c>
      <c r="AC33">
        <f t="shared" si="4"/>
        <v>0</v>
      </c>
      <c r="AD33" s="14">
        <f>AVERAGE(AD2:AD31)</f>
        <v>100.44827586206897</v>
      </c>
      <c r="AG33" s="18">
        <v>0</v>
      </c>
      <c r="AH33" s="19">
        <f t="shared" si="6"/>
        <v>30</v>
      </c>
      <c r="AI33" s="19">
        <f t="shared" si="7"/>
        <v>150</v>
      </c>
      <c r="AJ33" s="20">
        <f t="shared" si="15"/>
        <v>-10</v>
      </c>
      <c r="AK33" s="19">
        <f t="shared" si="16"/>
        <v>-10</v>
      </c>
      <c r="AL33" s="19">
        <f t="shared" si="17"/>
        <v>0</v>
      </c>
      <c r="AM33" s="19">
        <f t="shared" si="18"/>
        <v>0</v>
      </c>
      <c r="AN33" s="19">
        <f t="shared" si="25"/>
        <v>0</v>
      </c>
      <c r="AO33" s="19">
        <f t="shared" si="19"/>
        <v>50</v>
      </c>
      <c r="AP33" s="19">
        <f t="shared" si="20"/>
        <v>0</v>
      </c>
      <c r="AQ33" s="19">
        <f t="shared" ref="AQ33" si="31">AD33+200</f>
        <v>300.44827586206895</v>
      </c>
      <c r="AR33" s="47">
        <f t="shared" si="22"/>
        <v>-69.5</v>
      </c>
      <c r="AS33">
        <f t="shared" ref="AS33" si="32">IF(Q33="Yes",-225,0)</f>
        <v>0</v>
      </c>
    </row>
    <row r="34" spans="1:45">
      <c r="O34" s="2"/>
      <c r="AG34" s="150" t="s">
        <v>30</v>
      </c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6" spans="1:45">
      <c r="D36" s="2"/>
      <c r="L36" t="s">
        <v>187</v>
      </c>
    </row>
    <row r="37" spans="1:45">
      <c r="D37" s="2"/>
    </row>
    <row r="38" spans="1:45">
      <c r="D38" s="2"/>
    </row>
    <row r="39" spans="1:45">
      <c r="D39" s="2"/>
    </row>
    <row r="40" spans="1:45">
      <c r="D40" s="2"/>
    </row>
    <row r="41" spans="1:45">
      <c r="D41" s="2"/>
    </row>
    <row r="42" spans="1:45">
      <c r="D42" s="2"/>
    </row>
    <row r="43" spans="1:45">
      <c r="D43" s="2"/>
    </row>
    <row r="44" spans="1:45">
      <c r="D44" s="2"/>
    </row>
    <row r="45" spans="1:45">
      <c r="D45" s="2"/>
    </row>
    <row r="46" spans="1:45">
      <c r="D46" s="2"/>
    </row>
    <row r="47" spans="1:45">
      <c r="D47" s="2"/>
    </row>
    <row r="48" spans="1:45">
      <c r="D48" s="2"/>
    </row>
  </sheetData>
  <autoFilter ref="B1:Z32" xr:uid="{00000000-0001-0000-0000-000000000000}">
    <filterColumn colId="0">
      <filters>
        <dateGroupItem year="2025" month="4" dateTimeGrouping="month"/>
      </filters>
    </filterColumn>
  </autoFilter>
  <mergeCells count="1">
    <mergeCell ref="AG34:AQ34"/>
  </mergeCells>
  <conditionalFormatting sqref="V2:V32">
    <cfRule type="cellIs" dxfId="6" priority="6" operator="greaterThan">
      <formula>$F$2</formula>
    </cfRule>
    <cfRule type="cellIs" dxfId="5" priority="7" operator="lessThanOrEqual">
      <formula>$F$2</formula>
    </cfRule>
  </conditionalFormatting>
  <conditionalFormatting sqref="V33">
    <cfRule type="cellIs" dxfId="4" priority="1" operator="lessThanOrEqual">
      <formula>0</formula>
    </cfRule>
  </conditionalFormatting>
  <conditionalFormatting sqref="W2:W32">
    <cfRule type="cellIs" dxfId="3" priority="4" operator="greaterThan">
      <formula>$H$2</formula>
    </cfRule>
    <cfRule type="cellIs" dxfId="2" priority="5" operator="lessThanOrEqual">
      <formula>$H$2</formula>
    </cfRule>
  </conditionalFormatting>
  <conditionalFormatting sqref="AC2:AC32">
    <cfRule type="cellIs" dxfId="1" priority="2" operator="greaterThan">
      <formula>30</formula>
    </cfRule>
  </conditionalFormatting>
  <conditionalFormatting sqref="AD2:AD32 P2:T33">
    <cfRule type="cellIs" dxfId="0" priority="3" operator="lessThanOr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 (2)</vt:lpstr>
      <vt:lpstr>SUMMARY</vt:lpstr>
      <vt:lpstr>Sheet1</vt:lpstr>
      <vt:lpstr>Ahmedbad</vt:lpstr>
      <vt:lpstr>Airoli</vt:lpstr>
      <vt:lpstr>Baroda</vt:lpstr>
      <vt:lpstr>Banglore</vt:lpstr>
      <vt:lpstr>Chennai</vt:lpstr>
      <vt:lpstr>Hyderabad</vt:lpstr>
      <vt:lpstr>Kandivali</vt:lpstr>
      <vt:lpstr>Kolkata</vt:lpstr>
      <vt:lpstr>Lucknow</vt:lpstr>
      <vt:lpstr>Manesar</vt:lpstr>
      <vt:lpstr>Nagpur</vt:lpstr>
      <vt:lpstr>Pune</vt:lpstr>
      <vt:lpstr>Sahibabad</vt:lpstr>
      <vt:lpstr>Trivandrum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Linson V V</dc:creator>
  <cp:lastModifiedBy>P Sarath</cp:lastModifiedBy>
  <dcterms:created xsi:type="dcterms:W3CDTF">2015-06-05T18:17:20Z</dcterms:created>
  <dcterms:modified xsi:type="dcterms:W3CDTF">2025-07-31T09:05:37Z</dcterms:modified>
</cp:coreProperties>
</file>